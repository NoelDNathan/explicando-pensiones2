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G PRESUPUESTOS L\AMT\CUADROS STELLEN INTERNET\PRORROGA PRESUPUESTOS 2026\David\"/>
    </mc:Choice>
  </mc:AlternateContent>
  <xr:revisionPtr revIDLastSave="0" documentId="13_ncr:1_{B0C7B643-95A0-42D2-BB72-23DA40941E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o economico C 10 4-4" sheetId="30" r:id="rId1"/>
  </sheets>
  <externalReferences>
    <externalReference r:id="rId2"/>
    <externalReference r:id="rId3"/>
    <externalReference r:id="rId4"/>
    <externalReference r:id="rId5"/>
  </externalReferences>
  <definedNames>
    <definedName name="_C11">#REF!</definedName>
    <definedName name="_xlnm.Print_Area" localSheetId="0">'historico economico C 10 4-4'!$A$1:$H$17</definedName>
    <definedName name="BASEART">#REF!</definedName>
    <definedName name="BASECON">#REF!</definedName>
    <definedName name="baseg">#REF!</definedName>
    <definedName name="BASEPAR">#REF!</definedName>
    <definedName name="baser">#REF!</definedName>
    <definedName name="BASESUB">#REF!</definedName>
    <definedName name="conf1ent">[1]gastosf1ent!#REF!</definedName>
    <definedName name="CONF2">[1]gastosf2!#REF!</definedName>
    <definedName name="CONF2ENT">[1]gastosf2ent!#REF!</definedName>
    <definedName name="conf3">[1]gastosf3!#REF!</definedName>
    <definedName name="conf3ent">[1]gastosf3ent!#REF!</definedName>
    <definedName name="conf4">[1]gastosf4!#REF!</definedName>
    <definedName name="conf40y70">[2]art40y70!#REF!</definedName>
    <definedName name="conf4ent">[1]gastosf4ent!#REF!</definedName>
    <definedName name="conff1">[1]gastosf1!#REF!</definedName>
    <definedName name="CONFIGINGRESOS">[2]cap1ing!#REF!</definedName>
    <definedName name="confing4">[2]ingresos4!#REF!</definedName>
    <definedName name="confsistema">[1]gastossistema!#REF!</definedName>
    <definedName name="conftotalareas">[1]gastosf!#REF!</definedName>
    <definedName name="CRITERIOSIG102">#REF!</definedName>
    <definedName name="CUADRO">#REF!</definedName>
    <definedName name="d">[2]art40y70!#REF!</definedName>
    <definedName name="DOS">#REF!</definedName>
    <definedName name="EVOPRES">#REF!</definedName>
    <definedName name="MAR">[3]gastosf1!#REF!</definedName>
    <definedName name="PRESUPUESTO_SEGURIDAD_SOCIAL_2004">[4]COTIZACIONES!#REF!</definedName>
    <definedName name="REGELEMENTALES">#REF!</definedName>
    <definedName name="tabla">#REF!</definedName>
    <definedName name="Tabla_equivalencia">#REF!</definedName>
    <definedName name="U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0" l="1"/>
  <c r="G12" i="30"/>
  <c r="G9" i="30"/>
  <c r="G13" i="30" l="1"/>
  <c r="G17" i="30" s="1"/>
</calcChain>
</file>

<file path=xl/sharedStrings.xml><?xml version="1.0" encoding="utf-8"?>
<sst xmlns="http://schemas.openxmlformats.org/spreadsheetml/2006/main" count="25" uniqueCount="25">
  <si>
    <t>Gastos en bienes corrientes y servicios</t>
  </si>
  <si>
    <t>T O T A L E S</t>
  </si>
  <si>
    <t>RÚBRICAS ECONÓMICAS</t>
  </si>
  <si>
    <t xml:space="preserve"> Operaciones corrientes</t>
  </si>
  <si>
    <t xml:space="preserve"> Operaciones de capital</t>
  </si>
  <si>
    <t>Operaciones no financieras</t>
  </si>
  <si>
    <t xml:space="preserve"> Operaciones financieras</t>
  </si>
  <si>
    <t>Gastos de personal</t>
  </si>
  <si>
    <t>Gastos financieros</t>
  </si>
  <si>
    <t>Transferencias corrientes</t>
  </si>
  <si>
    <t>Inversiones reales</t>
  </si>
  <si>
    <t>Transferencias de capital</t>
  </si>
  <si>
    <t>Activos financieros</t>
  </si>
  <si>
    <t>Pasivos financieros</t>
  </si>
  <si>
    <t>En miles de euros</t>
  </si>
  <si>
    <t>LIQUIDACIÓN CONSOLIDADA 2019</t>
  </si>
  <si>
    <t>LIQUIDACIÓN CONSOLIDADA 2020</t>
  </si>
  <si>
    <t>LIQUIDACIÓN CONSOLIDADA 2021</t>
  </si>
  <si>
    <t>SERIE HISTÓRICA POR RÚBRICAS ECONÓMICAS  HOMOLOGADAS A LA ESTRUCTURA PRESUPUESTARIA DE 2023 (Cuadro 10 -4/4-)</t>
  </si>
  <si>
    <t>LIQUIDACIÓN CONSOLIDADA 2022</t>
  </si>
  <si>
    <t>PRESUPUESTO CONSOLIDADO 2024P</t>
  </si>
  <si>
    <t>LIQUIDACIÓN CONSOLIDADA 2023</t>
  </si>
  <si>
    <t>LIQUIDACIÓN CONSOLIDADA 2024</t>
  </si>
  <si>
    <t>PRESUPUESTO DE GASTOS (LIQUIDACIÓN / PRESUPUESTO 1995 - 2025P)</t>
  </si>
  <si>
    <t>PRESUPUESTO CONSOLIDADO 2025P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</si>
</sst>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P_t_s_-;\-* #,##0\ _P_t_s_-;_-* &quot;-&quot;\ _P_t_s_-;_-@_-"/>
    <numFmt numFmtId="166" formatCode="_-* #,##0\ &quot;Pts&quot;_-;\-* #,##0\ &quot;Pts&quot;_-;_-* &quot;-&quot;\ &quot;Pts&quot;_-;_-@_-"/>
  </numFmts>
  <fonts count="18">
    <font>
      <sz val="10"/>
      <name val="Arial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3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sz val="10"/>
      <name val="Verdana"/>
      <family val="2"/>
    </font>
    <font>
      <sz val="9"/>
      <name val="Tahoma"/>
      <family val="2"/>
    </font>
    <font>
      <b/>
      <i/>
      <sz val="9"/>
      <name val="Tahoma"/>
      <family val="2"/>
    </font>
    <font>
      <sz val="8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12"/>
      <name val="SWISS"/>
    </font>
    <font>
      <sz val="10"/>
      <name val="Courier"/>
      <family val="3"/>
    </font>
    <font>
      <sz val="8"/>
      <name val="Courier"/>
      <family val="3"/>
    </font>
    <font>
      <sz val="11"/>
      <color rgb="FF000000"/>
      <name val="Calibri"/>
      <family val="2"/>
    </font>
    <font>
      <sz val="12"/>
      <name val="Arial MT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8"/>
      </bottom>
      <diagonal/>
    </border>
  </borders>
  <cellStyleXfs count="54">
    <xf numFmtId="0" fontId="0" fillId="0" borderId="0"/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2" fillId="0" borderId="0"/>
    <xf numFmtId="0" fontId="16" fillId="0" borderId="0"/>
    <xf numFmtId="0" fontId="15" fillId="0" borderId="0"/>
    <xf numFmtId="0" fontId="15" fillId="0" borderId="0"/>
    <xf numFmtId="0" fontId="12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5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2" fillId="0" borderId="0"/>
    <xf numFmtId="3" fontId="17" fillId="2" borderId="0"/>
    <xf numFmtId="0" fontId="12" fillId="0" borderId="0"/>
    <xf numFmtId="0" fontId="15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5" fillId="0" borderId="0"/>
    <xf numFmtId="0" fontId="12" fillId="0" borderId="0"/>
    <xf numFmtId="0" fontId="15" fillId="0" borderId="0"/>
    <xf numFmtId="0" fontId="1" fillId="0" borderId="0"/>
    <xf numFmtId="0" fontId="15" fillId="0" borderId="0"/>
    <xf numFmtId="0" fontId="12" fillId="0" borderId="0"/>
    <xf numFmtId="0" fontId="15" fillId="0" borderId="0"/>
  </cellStyleXfs>
  <cellXfs count="21">
    <xf numFmtId="0" fontId="0" fillId="0" borderId="0" xfId="0"/>
    <xf numFmtId="4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4" fontId="8" fillId="0" borderId="2" xfId="0" applyNumberFormat="1" applyFont="1" applyBorder="1"/>
    <xf numFmtId="4" fontId="9" fillId="0" borderId="2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" fontId="10" fillId="0" borderId="7" xfId="0" applyNumberFormat="1" applyFont="1" applyBorder="1"/>
    <xf numFmtId="4" fontId="11" fillId="0" borderId="8" xfId="0" applyNumberFormat="1" applyFont="1" applyBorder="1"/>
    <xf numFmtId="4" fontId="11" fillId="0" borderId="9" xfId="0" applyNumberFormat="1" applyFont="1" applyBorder="1"/>
    <xf numFmtId="4" fontId="10" fillId="0" borderId="10" xfId="0" applyNumberFormat="1" applyFont="1" applyBorder="1"/>
    <xf numFmtId="4" fontId="11" fillId="0" borderId="11" xfId="0" applyNumberFormat="1" applyFont="1" applyBorder="1"/>
    <xf numFmtId="4" fontId="11" fillId="0" borderId="12" xfId="0" applyNumberFormat="1" applyFont="1" applyBorder="1"/>
    <xf numFmtId="4" fontId="10" fillId="0" borderId="13" xfId="0" applyNumberFormat="1" applyFont="1" applyBorder="1"/>
    <xf numFmtId="4" fontId="11" fillId="0" borderId="14" xfId="0" applyNumberFormat="1" applyFont="1" applyBorder="1"/>
    <xf numFmtId="4" fontId="11" fillId="0" borderId="15" xfId="0" applyNumberFormat="1" applyFont="1" applyBorder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54">
    <cellStyle name="Millares [0] 2" xfId="1" xr:uid="{00000000-0005-0000-0000-000000000000}"/>
    <cellStyle name="Millares 2" xfId="3" xr:uid="{00000000-0005-0000-0000-000001000000}"/>
    <cellStyle name="Millares 3" xfId="4" xr:uid="{00000000-0005-0000-0000-000002000000}"/>
    <cellStyle name="Millares 4" xfId="5" xr:uid="{00000000-0005-0000-0000-000003000000}"/>
    <cellStyle name="Moneda [0] 2" xfId="2" xr:uid="{00000000-0005-0000-0000-000004000000}"/>
    <cellStyle name="No-definido" xfId="6" xr:uid="{00000000-0005-0000-0000-000005000000}"/>
    <cellStyle name="Normal" xfId="0" builtinId="0"/>
    <cellStyle name="Normal 10" xfId="7" xr:uid="{00000000-0005-0000-0000-000007000000}"/>
    <cellStyle name="Normal 10 2" xfId="8" xr:uid="{00000000-0005-0000-0000-000008000000}"/>
    <cellStyle name="Normal 10 3" xfId="9" xr:uid="{00000000-0005-0000-0000-000009000000}"/>
    <cellStyle name="Normal 11" xfId="10" xr:uid="{00000000-0005-0000-0000-00000A000000}"/>
    <cellStyle name="Normal 11 2" xfId="11" xr:uid="{00000000-0005-0000-0000-00000B000000}"/>
    <cellStyle name="Normal 12" xfId="12" xr:uid="{00000000-0005-0000-0000-00000C000000}"/>
    <cellStyle name="Normal 12 2" xfId="13" xr:uid="{00000000-0005-0000-0000-00000D000000}"/>
    <cellStyle name="Normal 12 3" xfId="14" xr:uid="{00000000-0005-0000-0000-00000E000000}"/>
    <cellStyle name="Normal 13" xfId="15" xr:uid="{00000000-0005-0000-0000-00000F000000}"/>
    <cellStyle name="Normal 14" xfId="16" xr:uid="{00000000-0005-0000-0000-000010000000}"/>
    <cellStyle name="Normal 14 2" xfId="17" xr:uid="{00000000-0005-0000-0000-000011000000}"/>
    <cellStyle name="Normal 15" xfId="18" xr:uid="{00000000-0005-0000-0000-000012000000}"/>
    <cellStyle name="Normal 16" xfId="19" xr:uid="{00000000-0005-0000-0000-000013000000}"/>
    <cellStyle name="Normal 17" xfId="20" xr:uid="{00000000-0005-0000-0000-000014000000}"/>
    <cellStyle name="Normal 18" xfId="21" xr:uid="{00000000-0005-0000-0000-000015000000}"/>
    <cellStyle name="Normal 19" xfId="22" xr:uid="{00000000-0005-0000-0000-000016000000}"/>
    <cellStyle name="Normal 2" xfId="23" xr:uid="{00000000-0005-0000-0000-000017000000}"/>
    <cellStyle name="Normal 2 2" xfId="24" xr:uid="{00000000-0005-0000-0000-000018000000}"/>
    <cellStyle name="Normal 2 2 2" xfId="25" xr:uid="{00000000-0005-0000-0000-000019000000}"/>
    <cellStyle name="Normal 2 3" xfId="26" xr:uid="{00000000-0005-0000-0000-00001A000000}"/>
    <cellStyle name="Normal 2 3 2" xfId="27" xr:uid="{00000000-0005-0000-0000-00001B000000}"/>
    <cellStyle name="Normal 2 4" xfId="28" xr:uid="{00000000-0005-0000-0000-00001C000000}"/>
    <cellStyle name="Normal 20" xfId="29" xr:uid="{00000000-0005-0000-0000-00001D000000}"/>
    <cellStyle name="Normal 21" xfId="30" xr:uid="{00000000-0005-0000-0000-00001E000000}"/>
    <cellStyle name="Normal 22" xfId="31" xr:uid="{00000000-0005-0000-0000-00001F000000}"/>
    <cellStyle name="Normal 23" xfId="32" xr:uid="{00000000-0005-0000-0000-000020000000}"/>
    <cellStyle name="Normal 24" xfId="33" xr:uid="{00000000-0005-0000-0000-000021000000}"/>
    <cellStyle name="Normal 25" xfId="34" xr:uid="{00000000-0005-0000-0000-000022000000}"/>
    <cellStyle name="Normal 26" xfId="35" xr:uid="{00000000-0005-0000-0000-000023000000}"/>
    <cellStyle name="Normal 27" xfId="36" xr:uid="{00000000-0005-0000-0000-000024000000}"/>
    <cellStyle name="Normal 3" xfId="37" xr:uid="{00000000-0005-0000-0000-000025000000}"/>
    <cellStyle name="Normal 3 2" xfId="38" xr:uid="{00000000-0005-0000-0000-000026000000}"/>
    <cellStyle name="Normal 3 3" xfId="39" xr:uid="{00000000-0005-0000-0000-000027000000}"/>
    <cellStyle name="Normal 4" xfId="40" xr:uid="{00000000-0005-0000-0000-000028000000}"/>
    <cellStyle name="Normal 4 2" xfId="41" xr:uid="{00000000-0005-0000-0000-000029000000}"/>
    <cellStyle name="Normal 4 3" xfId="42" xr:uid="{00000000-0005-0000-0000-00002A000000}"/>
    <cellStyle name="Normal 5" xfId="43" xr:uid="{00000000-0005-0000-0000-00002B000000}"/>
    <cellStyle name="Normal 5 2" xfId="44" xr:uid="{00000000-0005-0000-0000-00002C000000}"/>
    <cellStyle name="Normal 5 2 2" xfId="45" xr:uid="{00000000-0005-0000-0000-00002D000000}"/>
    <cellStyle name="Normal 5 3" xfId="46" xr:uid="{00000000-0005-0000-0000-00002E000000}"/>
    <cellStyle name="Normal 6" xfId="47" xr:uid="{00000000-0005-0000-0000-00002F000000}"/>
    <cellStyle name="Normal 6 2" xfId="48" xr:uid="{00000000-0005-0000-0000-000030000000}"/>
    <cellStyle name="Normal 7" xfId="49" xr:uid="{00000000-0005-0000-0000-000031000000}"/>
    <cellStyle name="Normal 7 2" xfId="50" xr:uid="{00000000-0005-0000-0000-000032000000}"/>
    <cellStyle name="Normal 8" xfId="51" xr:uid="{00000000-0005-0000-0000-000033000000}"/>
    <cellStyle name="Normal 8 2" xfId="52" xr:uid="{00000000-0005-0000-0000-000034000000}"/>
    <cellStyle name="Normal 9" xfId="53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ALACIO\ESCENARI\PROYECTO%202022\PRESUPUE\AMT\MEMORIAS\MEMORIA%202017\PROYECTO\INTRODUCCION2016\gast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ALACIO\ESCENARI\PROYECTO%202022\PRESUPUE\AMT\MEMORIAS\MEMORIA%202015\INTRODUCCION2015\ingres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ESUPUE\AMT\MEMORIAS\MEMORIA%202017\PROYECTO\INTRODUCCION2016\gasto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SOC\AREAS\ELABORACION%20PTOS\Ppto.%202020\MICRAL,%20CUADROS%20%20Y%20SEGUIMIENTOS%20HOJAS%20DE%20TRABAJO\SEGURIDAD%20SOCIAL\ESCENARIO%202020\MICRAL%202020\ESCENARIO%205%20bis%202020%209%20DE%20ENERO%20-%20cop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g"/>
      <sheetName val="gastosf"/>
      <sheetName val="gastosf1"/>
      <sheetName val="gastosf1ent"/>
      <sheetName val="gastosf2"/>
      <sheetName val="gastosf2ent"/>
      <sheetName val="gastosf3"/>
      <sheetName val="gastosf3ent"/>
      <sheetName val="gastosf4"/>
      <sheetName val="gastosf4ent"/>
      <sheetName val="gastossistema"/>
      <sheetName val="BASE 2007-2015"/>
      <sheetName val="C9"/>
      <sheetName val="C9 GRAFICO)"/>
      <sheetName val="C10 (2)"/>
      <sheetName val="C12"/>
      <sheetName val="C13 (2)"/>
      <sheetName val="C14"/>
      <sheetName val="C14 GRAFICO 8"/>
    </sheetNames>
    <sheetDataSet>
      <sheetData sheetId="0">
        <row r="5">
          <cell r="D5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B2">
            <v>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r"/>
      <sheetName val="cap1ing"/>
      <sheetName val="cap1ing2"/>
      <sheetName val="art40y70"/>
      <sheetName val="ingresos4"/>
      <sheetName val="capIIIing"/>
      <sheetName val="capIII.ing1"/>
      <sheetName val="cap4y7"/>
      <sheetName val="cap3ing "/>
      <sheetName val="cap5.ingresos"/>
      <sheetName val="cap6.ingresos"/>
      <sheetName val="Cotizaciones sociales c 2"/>
      <sheetName val="Gcuadro D"/>
      <sheetName val="historicoINGRESOS"/>
      <sheetName val="C4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g"/>
      <sheetName val="gastosf"/>
      <sheetName val="gastosf1"/>
      <sheetName val="gastosf1ent"/>
      <sheetName val="gastosf2"/>
      <sheetName val="gastosf2ent"/>
      <sheetName val="gastosf3"/>
      <sheetName val="gastosf3ent"/>
      <sheetName val="gastosf4"/>
      <sheetName val="gastosf4ent"/>
      <sheetName val="gastossistema"/>
      <sheetName val="BASE 2007-2015"/>
      <sheetName val="C9"/>
      <sheetName val="C9 GRAFICO)"/>
      <sheetName val="C10 (2)"/>
      <sheetName val="C12"/>
      <sheetName val="C13 (2)"/>
      <sheetName val="C14"/>
      <sheetName val="C14 GRAFICO 8"/>
    </sheetNames>
    <sheetDataSet>
      <sheetData sheetId="0">
        <row r="5">
          <cell r="D5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B2">
            <v>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TRA"/>
      <sheetName val="TOTAL SS "/>
      <sheetName val="IMSERSO"/>
      <sheetName val="INGESA"/>
      <sheetName val="TOTAL "/>
      <sheetName val="trasf-e"/>
      <sheetName val="P.Liq 2018. "/>
      <sheetName val="COTIZACIONES"/>
      <sheetName val="PENSIONES"/>
      <sheetName val="MATERNIDAD"/>
      <sheetName val="P.FAMILIAR"/>
      <sheetName val="MINIMOS"/>
      <sheetName val="IT"/>
      <sheetName val="000X"/>
      <sheetName val="211M"/>
      <sheetName val="212O "/>
      <sheetName val="219M"/>
      <sheetName val="221M"/>
      <sheetName val="224M "/>
      <sheetName val="231E"/>
      <sheetName val="291M"/>
      <sheetName val="312D"/>
      <sheetName val="312F"/>
      <sheetName val="312G"/>
    </sheetNames>
    <sheetDataSet>
      <sheetData sheetId="0" refreshError="1"/>
      <sheetData sheetId="1" refreshError="1"/>
      <sheetData sheetId="2">
        <row r="25">
          <cell r="B25">
            <v>4146937.79</v>
          </cell>
        </row>
      </sheetData>
      <sheetData sheetId="3">
        <row r="35">
          <cell r="B35">
            <v>248058.54</v>
          </cell>
        </row>
      </sheetData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tabSelected="1" topLeftCell="A2" workbookViewId="0">
      <selection activeCell="F3" sqref="F3"/>
    </sheetView>
  </sheetViews>
  <sheetFormatPr baseColWidth="10" defaultRowHeight="12.75"/>
  <cols>
    <col min="1" max="1" width="56.7109375" customWidth="1"/>
    <col min="2" max="2" width="17.42578125" customWidth="1"/>
    <col min="3" max="5" width="17.5703125" customWidth="1"/>
    <col min="6" max="9" width="18.42578125" customWidth="1"/>
  </cols>
  <sheetData>
    <row r="1" spans="1:9" ht="47.25" customHeight="1">
      <c r="A1" s="19" t="s">
        <v>23</v>
      </c>
      <c r="B1" s="19"/>
      <c r="C1" s="19"/>
      <c r="D1" s="19"/>
      <c r="E1" s="19"/>
      <c r="F1" s="19"/>
      <c r="G1" s="19"/>
      <c r="H1" s="19"/>
    </row>
    <row r="2" spans="1:9" ht="41.25" customHeight="1">
      <c r="A2" s="20" t="s">
        <v>18</v>
      </c>
      <c r="B2" s="20"/>
      <c r="C2" s="20"/>
      <c r="D2" s="20"/>
      <c r="E2" s="20"/>
      <c r="F2" s="20"/>
      <c r="G2" s="20"/>
      <c r="H2" s="20"/>
    </row>
    <row r="3" spans="1:9" ht="21.75" customHeight="1" thickBot="1">
      <c r="A3" s="6"/>
      <c r="B3" s="8"/>
      <c r="C3" s="8"/>
      <c r="D3" s="8"/>
      <c r="E3" s="8"/>
      <c r="F3" s="8"/>
      <c r="G3" s="8"/>
      <c r="H3" s="8"/>
      <c r="I3" s="8" t="s">
        <v>14</v>
      </c>
    </row>
    <row r="4" spans="1:9" ht="54.75" customHeight="1" thickTop="1">
      <c r="A4" s="7" t="s">
        <v>2</v>
      </c>
      <c r="B4" s="2" t="s">
        <v>15</v>
      </c>
      <c r="C4" s="2" t="s">
        <v>16</v>
      </c>
      <c r="D4" s="2" t="s">
        <v>17</v>
      </c>
      <c r="E4" s="2" t="s">
        <v>19</v>
      </c>
      <c r="F4" s="2" t="s">
        <v>21</v>
      </c>
      <c r="G4" s="2" t="s">
        <v>22</v>
      </c>
      <c r="H4" s="2" t="s">
        <v>20</v>
      </c>
      <c r="I4" s="9" t="s">
        <v>24</v>
      </c>
    </row>
    <row r="5" spans="1:9" ht="20.100000000000001" customHeight="1">
      <c r="A5" s="3" t="s">
        <v>7</v>
      </c>
      <c r="B5" s="13">
        <v>2264384.66</v>
      </c>
      <c r="C5" s="13">
        <v>2366060.4800000004</v>
      </c>
      <c r="D5" s="13">
        <v>2415996.6399999978</v>
      </c>
      <c r="E5" s="16">
        <v>2437330.0099999988</v>
      </c>
      <c r="F5" s="16">
        <v>2643634.0500000017</v>
      </c>
      <c r="G5" s="16">
        <v>2795522.0900000045</v>
      </c>
      <c r="H5" s="16">
        <v>2749664.59</v>
      </c>
      <c r="I5" s="10">
        <v>2749664.59</v>
      </c>
    </row>
    <row r="6" spans="1:9" ht="20.100000000000001" customHeight="1">
      <c r="A6" s="3" t="s">
        <v>0</v>
      </c>
      <c r="B6" s="13">
        <v>1402950.6000000057</v>
      </c>
      <c r="C6" s="13">
        <v>1297117.33</v>
      </c>
      <c r="D6" s="13">
        <v>1329327.8200000012</v>
      </c>
      <c r="E6" s="16">
        <v>1450767.2100000028</v>
      </c>
      <c r="F6" s="16">
        <v>1540273.2800000012</v>
      </c>
      <c r="G6" s="16">
        <v>1619650.7600000026</v>
      </c>
      <c r="H6" s="16">
        <v>1624680.85</v>
      </c>
      <c r="I6" s="10">
        <v>1624680.85</v>
      </c>
    </row>
    <row r="7" spans="1:9" ht="20.100000000000001" customHeight="1">
      <c r="A7" s="3" t="s">
        <v>8</v>
      </c>
      <c r="B7" s="13">
        <v>7544.01</v>
      </c>
      <c r="C7" s="13">
        <v>2843.46</v>
      </c>
      <c r="D7" s="13">
        <v>16714.050000000003</v>
      </c>
      <c r="E7" s="16">
        <v>19137.650000000001</v>
      </c>
      <c r="F7" s="16">
        <v>1558.67</v>
      </c>
      <c r="G7" s="16">
        <v>1780.9199999999998</v>
      </c>
      <c r="H7" s="16">
        <v>31874.54</v>
      </c>
      <c r="I7" s="10">
        <v>31874.54</v>
      </c>
    </row>
    <row r="8" spans="1:9" ht="20.100000000000001" customHeight="1">
      <c r="A8" s="3" t="s">
        <v>9</v>
      </c>
      <c r="B8" s="13">
        <v>154165365.46000004</v>
      </c>
      <c r="C8" s="13">
        <v>166166935.31000003</v>
      </c>
      <c r="D8" s="13">
        <v>176216030.15999994</v>
      </c>
      <c r="E8" s="16">
        <v>181019422.37999988</v>
      </c>
      <c r="F8" s="16">
        <v>199532038.74999994</v>
      </c>
      <c r="G8" s="16">
        <v>215425620.12999991</v>
      </c>
      <c r="H8" s="16">
        <v>194380965.93999994</v>
      </c>
      <c r="I8" s="10">
        <v>194380965.93999994</v>
      </c>
    </row>
    <row r="9" spans="1:9" ht="30" customHeight="1">
      <c r="A9" s="4" t="s">
        <v>3</v>
      </c>
      <c r="B9" s="14">
        <v>157840244.73000005</v>
      </c>
      <c r="C9" s="14">
        <v>169832956.58000001</v>
      </c>
      <c r="D9" s="14">
        <v>179978068.66999999</v>
      </c>
      <c r="E9" s="17">
        <v>184926657.24999988</v>
      </c>
      <c r="F9" s="17">
        <v>203717504.74999994</v>
      </c>
      <c r="G9" s="17">
        <f>SUM(G5:G8)</f>
        <v>219842573.89999992</v>
      </c>
      <c r="H9" s="17">
        <v>198787185.91999993</v>
      </c>
      <c r="I9" s="11">
        <v>198787185.91999993</v>
      </c>
    </row>
    <row r="10" spans="1:9" ht="20.100000000000001" customHeight="1">
      <c r="A10" s="3" t="s">
        <v>10</v>
      </c>
      <c r="B10" s="13">
        <v>135175.19000000003</v>
      </c>
      <c r="C10" s="13">
        <v>156772.84</v>
      </c>
      <c r="D10" s="13">
        <v>209619.84000000005</v>
      </c>
      <c r="E10" s="16">
        <v>262521.9599999999</v>
      </c>
      <c r="F10" s="16">
        <v>297067.31000000011</v>
      </c>
      <c r="G10" s="16">
        <v>353736.1</v>
      </c>
      <c r="H10" s="16">
        <v>306701.57999999996</v>
      </c>
      <c r="I10" s="10">
        <v>306701.57999999996</v>
      </c>
    </row>
    <row r="11" spans="1:9" ht="20.100000000000001" customHeight="1">
      <c r="A11" s="3" t="s">
        <v>11</v>
      </c>
      <c r="B11" s="13">
        <v>0</v>
      </c>
      <c r="C11" s="13">
        <v>0</v>
      </c>
      <c r="D11" s="13">
        <v>0</v>
      </c>
      <c r="E11" s="16">
        <v>3000</v>
      </c>
      <c r="F11" s="16">
        <v>0</v>
      </c>
      <c r="G11" s="16">
        <v>0</v>
      </c>
      <c r="H11" s="16">
        <v>5000</v>
      </c>
      <c r="I11" s="10">
        <v>5000</v>
      </c>
    </row>
    <row r="12" spans="1:9" ht="30" customHeight="1">
      <c r="A12" s="4" t="s">
        <v>4</v>
      </c>
      <c r="B12" s="14">
        <v>135175.19000000003</v>
      </c>
      <c r="C12" s="14">
        <v>156772.84</v>
      </c>
      <c r="D12" s="14">
        <v>209619.84000000005</v>
      </c>
      <c r="E12" s="17">
        <v>265521.9599999999</v>
      </c>
      <c r="F12" s="17">
        <v>297067.31000000011</v>
      </c>
      <c r="G12" s="17">
        <f>SUM(G10:G11)</f>
        <v>353736.1</v>
      </c>
      <c r="H12" s="17">
        <v>311701.57999999996</v>
      </c>
      <c r="I12" s="11">
        <v>311701.57999999996</v>
      </c>
    </row>
    <row r="13" spans="1:9" ht="39.950000000000003" customHeight="1">
      <c r="A13" s="4" t="s">
        <v>5</v>
      </c>
      <c r="B13" s="14">
        <v>157975419.92000005</v>
      </c>
      <c r="C13" s="14">
        <v>169989729.42000008</v>
      </c>
      <c r="D13" s="14">
        <v>180187688.50999999</v>
      </c>
      <c r="E13" s="17">
        <v>185192179.20999989</v>
      </c>
      <c r="F13" s="17">
        <v>204014572.05999994</v>
      </c>
      <c r="G13" s="17">
        <f>G12+G9</f>
        <v>220196309.99999991</v>
      </c>
      <c r="H13" s="17">
        <v>199098887.49999994</v>
      </c>
      <c r="I13" s="11">
        <v>199098887.49999994</v>
      </c>
    </row>
    <row r="14" spans="1:9" ht="20.100000000000001" customHeight="1">
      <c r="A14" s="3" t="s">
        <v>12</v>
      </c>
      <c r="B14" s="13">
        <v>38564.599999999991</v>
      </c>
      <c r="C14" s="13">
        <v>2214091.31</v>
      </c>
      <c r="D14" s="13">
        <v>119909.95999999999</v>
      </c>
      <c r="E14" s="16">
        <v>2738433.37</v>
      </c>
      <c r="F14" s="16">
        <v>3480227.22</v>
      </c>
      <c r="G14" s="16">
        <v>6279712.9000000013</v>
      </c>
      <c r="H14" s="16">
        <v>4907351.9900000039</v>
      </c>
      <c r="I14" s="10">
        <v>4907351.9900000039</v>
      </c>
    </row>
    <row r="15" spans="1:9" ht="20.100000000000001" customHeight="1">
      <c r="A15" s="3" t="s">
        <v>13</v>
      </c>
      <c r="B15" s="13">
        <v>0</v>
      </c>
      <c r="C15" s="13">
        <v>0</v>
      </c>
      <c r="D15" s="13">
        <v>0</v>
      </c>
      <c r="E15" s="16">
        <v>0</v>
      </c>
      <c r="F15" s="16">
        <v>0</v>
      </c>
      <c r="G15" s="16">
        <v>0</v>
      </c>
      <c r="H15" s="16">
        <v>10</v>
      </c>
      <c r="I15" s="10">
        <v>10</v>
      </c>
    </row>
    <row r="16" spans="1:9" ht="39.950000000000003" customHeight="1">
      <c r="A16" s="4" t="s">
        <v>6</v>
      </c>
      <c r="B16" s="14">
        <v>38564.599999999991</v>
      </c>
      <c r="C16" s="14">
        <v>2214091.31</v>
      </c>
      <c r="D16" s="14">
        <v>119909.95999999999</v>
      </c>
      <c r="E16" s="17">
        <v>2738433.37</v>
      </c>
      <c r="F16" s="17">
        <v>3480227.22</v>
      </c>
      <c r="G16" s="17">
        <f>SUM(G14:G15)</f>
        <v>6279712.9000000013</v>
      </c>
      <c r="H16" s="17">
        <v>4907361.9900000039</v>
      </c>
      <c r="I16" s="11">
        <v>4907361.9900000039</v>
      </c>
    </row>
    <row r="17" spans="1:9" ht="50.1" customHeight="1" thickBot="1">
      <c r="A17" s="5" t="s">
        <v>1</v>
      </c>
      <c r="B17" s="15">
        <v>158013984.52000004</v>
      </c>
      <c r="C17" s="15">
        <v>172203820.73000005</v>
      </c>
      <c r="D17" s="15">
        <v>180307598.47</v>
      </c>
      <c r="E17" s="18">
        <v>187930612.57999986</v>
      </c>
      <c r="F17" s="18">
        <v>207494799.27999994</v>
      </c>
      <c r="G17" s="18">
        <f>G16+G13</f>
        <v>226476022.89999992</v>
      </c>
      <c r="H17" s="18">
        <v>204006249.48999995</v>
      </c>
      <c r="I17" s="12">
        <v>204006249.48999995</v>
      </c>
    </row>
    <row r="18" spans="1:9" ht="13.5" thickTop="1"/>
    <row r="19" spans="1:9">
      <c r="C19" s="1"/>
      <c r="D19" s="1"/>
      <c r="E19" s="1"/>
    </row>
    <row r="25" spans="1:9">
      <c r="B25" s="1"/>
      <c r="C25" s="1"/>
      <c r="D25" s="1"/>
      <c r="E25" s="1"/>
      <c r="F25" s="1"/>
      <c r="G25" s="1"/>
      <c r="H25" s="1"/>
    </row>
    <row r="28" spans="1:9">
      <c r="B28" s="1"/>
      <c r="C28" s="1"/>
      <c r="D28" s="1"/>
      <c r="E28" s="1"/>
      <c r="F28" s="1"/>
      <c r="G28" s="1"/>
      <c r="H28" s="1"/>
    </row>
    <row r="29" spans="1:9">
      <c r="B29" s="1"/>
      <c r="C29" s="1"/>
      <c r="D29" s="1"/>
      <c r="E29" s="1"/>
      <c r="F29" s="1"/>
      <c r="G29" s="1"/>
      <c r="H29" s="1"/>
    </row>
    <row r="32" spans="1:9">
      <c r="B32" s="1"/>
      <c r="C32" s="1"/>
      <c r="D32" s="1"/>
      <c r="E32" s="1"/>
      <c r="F32" s="1"/>
      <c r="G32" s="1"/>
      <c r="H32" s="1"/>
    </row>
    <row r="35" spans="2:8">
      <c r="B35" s="1"/>
      <c r="C35" s="1"/>
      <c r="D35" s="1"/>
      <c r="E35" s="1"/>
      <c r="F35" s="1"/>
      <c r="G35" s="1"/>
      <c r="H35" s="1"/>
    </row>
    <row r="36" spans="2:8">
      <c r="B36" s="1"/>
      <c r="C36" s="1"/>
      <c r="D36" s="1"/>
      <c r="E36" s="1"/>
      <c r="F36" s="1"/>
      <c r="G36" s="1"/>
      <c r="H36" s="1"/>
    </row>
    <row r="37" spans="2:8">
      <c r="B37" s="1"/>
      <c r="C37" s="1"/>
      <c r="D37" s="1"/>
      <c r="E37" s="1"/>
      <c r="F37" s="1"/>
      <c r="G37" s="1"/>
      <c r="H37" s="1"/>
    </row>
    <row r="38" spans="2:8">
      <c r="B38" s="1"/>
      <c r="C38" s="1"/>
      <c r="D38" s="1"/>
      <c r="E38" s="1"/>
      <c r="F38" s="1"/>
      <c r="G38" s="1"/>
      <c r="H38" s="1"/>
    </row>
    <row r="39" spans="2:8">
      <c r="B39" s="1"/>
      <c r="C39" s="1"/>
      <c r="D39" s="1"/>
      <c r="E39" s="1"/>
      <c r="F39" s="1"/>
      <c r="G39" s="1"/>
      <c r="H39" s="1"/>
    </row>
    <row r="40" spans="2:8">
      <c r="B40" s="1"/>
      <c r="C40" s="1"/>
      <c r="D40" s="1"/>
      <c r="E40" s="1"/>
      <c r="F40" s="1"/>
      <c r="G40" s="1"/>
      <c r="H40" s="1"/>
    </row>
    <row r="41" spans="2:8">
      <c r="B41" s="1"/>
      <c r="C41" s="1"/>
      <c r="D41" s="1"/>
      <c r="E41" s="1"/>
      <c r="F41" s="1"/>
      <c r="G41" s="1"/>
      <c r="H41" s="1"/>
    </row>
    <row r="42" spans="2:8">
      <c r="B42" s="1"/>
      <c r="C42" s="1"/>
      <c r="D42" s="1"/>
      <c r="E42" s="1"/>
      <c r="F42" s="1"/>
      <c r="G42" s="1"/>
      <c r="H42" s="1"/>
    </row>
    <row r="43" spans="2:8">
      <c r="B43" s="1"/>
      <c r="C43" s="1"/>
      <c r="D43" s="1"/>
      <c r="E43" s="1"/>
      <c r="F43" s="1"/>
      <c r="G43" s="1"/>
      <c r="H43" s="1"/>
    </row>
    <row r="44" spans="2:8">
      <c r="B44" s="1"/>
      <c r="C44" s="1"/>
      <c r="D44" s="1"/>
      <c r="E44" s="1"/>
      <c r="F44" s="1"/>
      <c r="G44" s="1"/>
      <c r="H44" s="1"/>
    </row>
    <row r="45" spans="2:8">
      <c r="B45" s="1"/>
      <c r="C45" s="1"/>
      <c r="D45" s="1"/>
      <c r="E45" s="1"/>
      <c r="F45" s="1"/>
      <c r="G45" s="1"/>
      <c r="H45" s="1"/>
    </row>
    <row r="46" spans="2:8">
      <c r="B46" s="1"/>
      <c r="C46" s="1"/>
      <c r="D46" s="1"/>
      <c r="E46" s="1"/>
      <c r="F46" s="1"/>
      <c r="G46" s="1"/>
      <c r="H46" s="1"/>
    </row>
    <row r="47" spans="2:8">
      <c r="B47" s="1"/>
      <c r="C47" s="1"/>
      <c r="D47" s="1"/>
      <c r="E47" s="1"/>
      <c r="F47" s="1"/>
      <c r="G47" s="1"/>
      <c r="H47" s="1"/>
    </row>
    <row r="48" spans="2:8">
      <c r="B48" s="1"/>
      <c r="C48" s="1"/>
      <c r="D48" s="1"/>
      <c r="E48" s="1"/>
      <c r="F48" s="1"/>
      <c r="G48" s="1"/>
      <c r="H48" s="1"/>
    </row>
    <row r="49" spans="2:8">
      <c r="B49" s="1"/>
      <c r="C49" s="1"/>
      <c r="D49" s="1"/>
      <c r="E49" s="1"/>
      <c r="F49" s="1"/>
      <c r="G49" s="1"/>
      <c r="H49" s="1"/>
    </row>
    <row r="50" spans="2:8">
      <c r="B50" s="1"/>
      <c r="C50" s="1"/>
      <c r="D50" s="1"/>
      <c r="E50" s="1"/>
      <c r="F50" s="1"/>
      <c r="G50" s="1"/>
      <c r="H50" s="1"/>
    </row>
  </sheetData>
  <mergeCells count="2">
    <mergeCell ref="A1:H1"/>
    <mergeCell ref="A2:H2"/>
  </mergeCells>
  <phoneticPr fontId="0" type="noConversion"/>
  <printOptions horizontalCentered="1"/>
  <pageMargins left="0" right="0" top="0.98425196850393704" bottom="0.59055118110236227" header="0" footer="0"/>
  <pageSetup paperSize="9" scale="80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historico economico C 10 4-4</vt:lpstr>
      <vt:lpstr>'historico economico C 10 4-4'!Área_de_impresión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MINAYA TRUJILLO</dc:creator>
  <cp:lastModifiedBy>MINAYA TRUJILLO, ANTONIO</cp:lastModifiedBy>
  <cp:lastPrinted>2024-12-09T10:18:29Z</cp:lastPrinted>
  <dcterms:created xsi:type="dcterms:W3CDTF">2002-06-27T11:48:02Z</dcterms:created>
  <dcterms:modified xsi:type="dcterms:W3CDTF">2025-11-27T10:28:14Z</dcterms:modified>
</cp:coreProperties>
</file>