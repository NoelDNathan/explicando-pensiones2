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antos\Documents\DTs\"/>
    </mc:Choice>
  </mc:AlternateContent>
  <xr:revisionPtr revIDLastSave="0" documentId="13_ncr:1_{B03D9C54-FE03-4374-B3B3-791087C16CB1}" xr6:coauthVersionLast="47" xr6:coauthVersionMax="47" xr10:uidLastSave="{00000000-0000-0000-0000-000000000000}"/>
  <bookViews>
    <workbookView xWindow="-120" yWindow="-120" windowWidth="20730" windowHeight="11160" xr2:uid="{A3DD6A8E-FB14-4822-81B6-43B32B671E6B}"/>
  </bookViews>
  <sheets>
    <sheet name="Gráficos" sheetId="2" r:id="rId1"/>
    <sheet name="Gráficos 1, 2, 15, 16 y 22" sheetId="17" r:id="rId2"/>
    <sheet name="Gráficos 3, 4, 5, 9, 10 y  12" sheetId="6" r:id="rId3"/>
    <sheet name="Gráficos 6 y 7" sheetId="7" r:id="rId4"/>
    <sheet name="Gráfico 8" sheetId="8" r:id="rId5"/>
    <sheet name="Gráfico 11" sheetId="9" r:id="rId6"/>
    <sheet name="Gráfico 13" sheetId="4" r:id="rId7"/>
    <sheet name="Gráfico 14" sheetId="18" r:id="rId8"/>
    <sheet name="Gráfico 17" sheetId="10" r:id="rId9"/>
    <sheet name="Gráfico 18" sheetId="11" r:id="rId10"/>
    <sheet name="Gráfico 19" sheetId="12" r:id="rId11"/>
    <sheet name="Gráfico 20" sheetId="5" r:id="rId12"/>
    <sheet name="Gráfico 21" sheetId="19" r:id="rId13"/>
    <sheet name="Gráfico 23" sheetId="13" r:id="rId14"/>
    <sheet name="Gráficos 24 " sheetId="14" r:id="rId15"/>
    <sheet name="Gráficos 25" sheetId="16" r:id="rId16"/>
    <sheet name="Gráfico 26" sheetId="15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5">#REF!</definedName>
    <definedName name="\6">#REF!</definedName>
    <definedName name="\7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I">#REF!</definedName>
    <definedName name="\I2">#REF!</definedName>
    <definedName name="\K">#REF!</definedName>
    <definedName name="\L">#REF!</definedName>
    <definedName name="\P">#REF!</definedName>
    <definedName name="\Z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>#REF!</definedName>
    <definedName name="__123Graph_A_" hidden="1">#REF!</definedName>
    <definedName name="__123Graph_ABERLGRAP">#REF!</definedName>
    <definedName name="__123Graph_ABKSRESRV">#REF!</definedName>
    <definedName name="__123Graph_ABSYSASST" hidden="1">#REF!</definedName>
    <definedName name="__123Graph_ACATCH1">#REF!</definedName>
    <definedName name="__123Graph_ACBASSETS" hidden="1">#REF!</definedName>
    <definedName name="__123Graph_AChart1">#REF!</definedName>
    <definedName name="__123Graph_AChart2">#REF!</definedName>
    <definedName name="__123Graph_AChart3">#REF!</definedName>
    <definedName name="__123Graph_ACONVERG1">#REF!</definedName>
    <definedName name="__123Graph_ACurrent">#REF!</definedName>
    <definedName name="__123Graph_AECTOT">#REF!</definedName>
    <definedName name="__123Graph_AERDOLLAR">#REF!</definedName>
    <definedName name="__123Graph_AERRUBLE">#REF!</definedName>
    <definedName name="__123Graph_AGFS.3" hidden="1">#REF!</definedName>
    <definedName name="__123Graph_AGRAPH1" hidden="1">#REF!</definedName>
    <definedName name="__123Graph_AGRAPH2">#REF!</definedName>
    <definedName name="__123Graph_AGRAPH41">#REF!</definedName>
    <definedName name="__123Graph_AGRAPH42">#REF!</definedName>
    <definedName name="__123Graph_AGRAPH44">#REF!</definedName>
    <definedName name="__123Graph_AIBRD_LEND">#REF!</definedName>
    <definedName name="__123Graph_AIMPORTS">#REF!</definedName>
    <definedName name="__123Graph_AMIMPMAC" hidden="1">#REF!</definedName>
    <definedName name="__123Graph_AMONEY">#REF!</definedName>
    <definedName name="__123Graph_AMONIMP" hidden="1">#REF!</definedName>
    <definedName name="__123Graph_AMULTVELO" hidden="1">#REF!</definedName>
    <definedName name="__123Graph_APERIB">#REF!</definedName>
    <definedName name="__123Graph_APIPELINE">#REF!</definedName>
    <definedName name="__123Graph_APRINCIPAL" hidden="1">#REF!</definedName>
    <definedName name="__123Graph_APRODABSC">#REF!</definedName>
    <definedName name="__123Graph_APRODABSD">#REF!</definedName>
    <definedName name="__123Graph_APRODTRE2">#REF!</definedName>
    <definedName name="__123Graph_APRODTRE3">#REF!</definedName>
    <definedName name="__123Graph_APRODTRE4">#REF!</definedName>
    <definedName name="__123Graph_APRODTREND">#REF!</definedName>
    <definedName name="__123Graph_AREALRATE">#REF!</definedName>
    <definedName name="__123Graph_AREER">#REF!</definedName>
    <definedName name="__123Graph_ARESCOV" hidden="1">#REF!</definedName>
    <definedName name="__123Graph_ARESERVES">#REF!</definedName>
    <definedName name="__123Graph_ARUBRATE">#REF!</definedName>
    <definedName name="__123Graph_ASEASON_CASH">#REF!</definedName>
    <definedName name="__123Graph_ASEASON_MONEY">#REF!</definedName>
    <definedName name="__123Graph_ASEASON_SIGHT">#REF!</definedName>
    <definedName name="__123Graph_ASEASON_TIME">#REF!</definedName>
    <definedName name="__123Graph_ATAX1" hidden="1">#REF!</definedName>
    <definedName name="__123Graph_ATRADECPI">#REF!</definedName>
    <definedName name="__123Graph_AUSRATE">#REF!</definedName>
    <definedName name="__123Graph_AUTRECHT">#REF!</definedName>
    <definedName name="__123Graph_AWEEKLY">#REF!</definedName>
    <definedName name="__123Graph_AXRATE" hidden="1">#REF!</definedName>
    <definedName name="__123Graph_B">#REF!</definedName>
    <definedName name="__123Graph_BBERLGRAP">#REF!</definedName>
    <definedName name="__123Graph_BBKSRESRV">#REF!</definedName>
    <definedName name="__123Graph_BBSYSASST" hidden="1">#REF!</definedName>
    <definedName name="__123Graph_BCATCH1">#REF!</definedName>
    <definedName name="__123Graph_BCBASSETS" hidden="1">#REF!</definedName>
    <definedName name="__123Graph_BChart1">#REF!</definedName>
    <definedName name="__123Graph_BChart2">#REF!</definedName>
    <definedName name="__123Graph_BChart3">#REF!</definedName>
    <definedName name="__123Graph_BCONVERG1">#REF!</definedName>
    <definedName name="__123Graph_BCurrent">#REF!</definedName>
    <definedName name="__123Graph_BECTOT">#REF!</definedName>
    <definedName name="__123Graph_BERDOLLAR">#REF!</definedName>
    <definedName name="__123Graph_BERRUBLE">#REF!</definedName>
    <definedName name="__123Graph_BGFS.1" hidden="1">#REF!</definedName>
    <definedName name="__123Graph_BGFS.3" hidden="1">#REF!</definedName>
    <definedName name="__123Graph_BGRAPH1" hidden="1">#REF!</definedName>
    <definedName name="__123Graph_BGRAPH2">#REF!</definedName>
    <definedName name="__123Graph_BGRAPH41">#REF!</definedName>
    <definedName name="__123Graph_BIBRD_LEND">#REF!</definedName>
    <definedName name="__123Graph_BIMPORTS">#REF!</definedName>
    <definedName name="__123Graph_BMONEY">#REF!</definedName>
    <definedName name="__123Graph_BMONIMP" hidden="1">#REF!</definedName>
    <definedName name="__123Graph_BMULTVELO" hidden="1">#REF!</definedName>
    <definedName name="__123Graph_BPERIB">#REF!</definedName>
    <definedName name="__123Graph_BPIPELINE">#REF!</definedName>
    <definedName name="__123Graph_BPRINCIPAL" hidden="1">#REF!</definedName>
    <definedName name="__123Graph_BPRODABSC">#REF!</definedName>
    <definedName name="__123Graph_BPRODABSD">#REF!</definedName>
    <definedName name="__123Graph_BREALRATE">#REF!</definedName>
    <definedName name="__123Graph_BREER">#REF!</definedName>
    <definedName name="__123Graph_BRESCOV" hidden="1">#REF!</definedName>
    <definedName name="__123Graph_BRESERVES">#REF!</definedName>
    <definedName name="__123Graph_BRUBRATE">#REF!</definedName>
    <definedName name="__123Graph_BSEASON_CASH">#REF!</definedName>
    <definedName name="__123Graph_BSEASON_MONEY">#REF!</definedName>
    <definedName name="__123Graph_BSEASON_TIME">#REF!</definedName>
    <definedName name="__123Graph_BTAX1" hidden="1">#REF!</definedName>
    <definedName name="__123Graph_BTRADECPI">#REF!</definedName>
    <definedName name="__123Graph_BUSRATE">#REF!</definedName>
    <definedName name="__123Graph_C">#REF!</definedName>
    <definedName name="__123Graph_CBERLGRAP">#REF!</definedName>
    <definedName name="__123Graph_CBKSRESRV">#REF!</definedName>
    <definedName name="__123Graph_CBSYSASST" hidden="1">#REF!</definedName>
    <definedName name="__123Graph_CCATCH1">#REF!</definedName>
    <definedName name="__123Graph_CChart1">#REF!</definedName>
    <definedName name="__123Graph_CChart2">#REF!</definedName>
    <definedName name="__123Graph_CChart3">#REF!</definedName>
    <definedName name="__123Graph_CCONVERG1">#REF!</definedName>
    <definedName name="__123Graph_CCURRENT">#REF!</definedName>
    <definedName name="__123Graph_CECTOT">#REF!</definedName>
    <definedName name="__123Graph_CGFS.3" hidden="1">#REF!</definedName>
    <definedName name="__123Graph_CGRAPH1" hidden="1">#REF!</definedName>
    <definedName name="__123Graph_CGRAPH41">#REF!</definedName>
    <definedName name="__123Graph_CGRAPH44">#REF!</definedName>
    <definedName name="__123Graph_CIMPORTS">#REF!</definedName>
    <definedName name="__123Graph_CMONEY">#REF!</definedName>
    <definedName name="__123Graph_CPERIA">#REF!</definedName>
    <definedName name="__123Graph_CPERIB">#REF!</definedName>
    <definedName name="__123Graph_CPRODABSC">#REF!</definedName>
    <definedName name="__123Graph_CPRODTRE2">#REF!</definedName>
    <definedName name="__123Graph_CPRODTREND">#REF!</definedName>
    <definedName name="__123Graph_CREER">#REF!</definedName>
    <definedName name="__123Graph_CRESCOV" hidden="1">#REF!</definedName>
    <definedName name="__123Graph_CRESERVES">#REF!</definedName>
    <definedName name="__123Graph_CSEASON_CASH">#REF!</definedName>
    <definedName name="__123Graph_CSEASON_MONEY">#REF!</definedName>
    <definedName name="__123Graph_CSEASON_SIGHT">#REF!</definedName>
    <definedName name="__123Graph_CSEASON_TIME">#REF!</definedName>
    <definedName name="__123Graph_CTAX1" hidden="1">#REF!</definedName>
    <definedName name="__123Graph_CUTRECHT">#REF!</definedName>
    <definedName name="__123Graph_CXRATE" hidden="1">#REF!</definedName>
    <definedName name="__123Graph_D">#REF!</definedName>
    <definedName name="__123Graph_DBERLGRAP">#REF!</definedName>
    <definedName name="__123Graph_DCATCH1">#REF!</definedName>
    <definedName name="__123Graph_DChart1">#REF!</definedName>
    <definedName name="__123Graph_DChart2">#REF!</definedName>
    <definedName name="__123Graph_DChart3">#REF!</definedName>
    <definedName name="__123Graph_DCONVERG1">#REF!</definedName>
    <definedName name="__123Graph_DCPI">#REF!</definedName>
    <definedName name="__123Graph_DCURRENT">#REF!</definedName>
    <definedName name="__123Graph_DECTOT">#REF!</definedName>
    <definedName name="__123Graph_DGRAPH1" hidden="1">#REF!</definedName>
    <definedName name="__123Graph_DGRAPH41">#REF!</definedName>
    <definedName name="__123Graph_DPERIA">#REF!</definedName>
    <definedName name="__123Graph_DPERIB">#REF!</definedName>
    <definedName name="__123Graph_DPRODABSC">#REF!</definedName>
    <definedName name="__123Graph_DSEASON_MONEY">#REF!</definedName>
    <definedName name="__123Graph_DSEASON_SIGHT">#REF!</definedName>
    <definedName name="__123Graph_DSEASON_TIME">#REF!</definedName>
    <definedName name="__123Graph_DTAX1" hidden="1">#REF!</definedName>
    <definedName name="__123Graph_DTRADECPI">#REF!</definedName>
    <definedName name="__123Graph_DUTRECHT">#REF!</definedName>
    <definedName name="__123Graph_E">#REF!</definedName>
    <definedName name="__123Graph_EBERLGRAP">#REF!</definedName>
    <definedName name="__123Graph_ECATCH1">#REF!</definedName>
    <definedName name="__123Graph_EChart1">#REF!</definedName>
    <definedName name="__123Graph_EChart2">#REF!</definedName>
    <definedName name="__123Graph_EChart3">#REF!</definedName>
    <definedName name="__123Graph_ECONVERG1">#REF!</definedName>
    <definedName name="__123Graph_ECURRENT">#REF!</definedName>
    <definedName name="__123Graph_EECTOT">#REF!</definedName>
    <definedName name="__123Graph_EGRAPH1" hidden="1">#REF!</definedName>
    <definedName name="__123Graph_EGRAPH41">#REF!</definedName>
    <definedName name="__123Graph_EPERIA">#REF!</definedName>
    <definedName name="__123Graph_EPRODABSC">#REF!</definedName>
    <definedName name="__123Graph_ESEASON_CASH">#REF!</definedName>
    <definedName name="__123Graph_ESEASON_MONEY">#REF!</definedName>
    <definedName name="__123Graph_ESEASON_TIME">#REF!</definedName>
    <definedName name="__123Graph_ETAX1" hidden="1">#REF!</definedName>
    <definedName name="__123Graph_F">#REF!</definedName>
    <definedName name="__123Graph_FBERLGRAP">#REF!</definedName>
    <definedName name="__123Graph_FChart1">#REF!</definedName>
    <definedName name="__123Graph_FChart2">#REF!</definedName>
    <definedName name="__123Graph_FChart3">#REF!</definedName>
    <definedName name="__123Graph_FCurrent">#REF!</definedName>
    <definedName name="__123Graph_FGRAPH1" hidden="1">#REF!</definedName>
    <definedName name="__123Graph_FGRAPH41">#REF!</definedName>
    <definedName name="__123Graph_FPRODABSC">#REF!</definedName>
    <definedName name="__123Graph_X">#REF!</definedName>
    <definedName name="__123Graph_XBKSRESRV">#REF!</definedName>
    <definedName name="__123Graph_XChart1">#REF!</definedName>
    <definedName name="__123Graph_XCREDIT">#REF!</definedName>
    <definedName name="__123Graph_XCurrent">#REF!</definedName>
    <definedName name="__123Graph_XECTOT">#REF!</definedName>
    <definedName name="__123Graph_XERDOLLAR">#REF!</definedName>
    <definedName name="__123Graph_XERRUBLE">#REF!</definedName>
    <definedName name="__123Graph_XGFS.1" hidden="1">#REF!</definedName>
    <definedName name="__123Graph_XGFS.3" hidden="1">#REF!</definedName>
    <definedName name="__123Graph_XGRAPH1" hidden="1">#REF!</definedName>
    <definedName name="__123Graph_XIBRD_LEND">#REF!</definedName>
    <definedName name="__123Graph_XIMPORTS">#REF!</definedName>
    <definedName name="__123Graph_XRUBRATE">#REF!</definedName>
    <definedName name="__123Graph_XTAX1" hidden="1">#REF!</definedName>
    <definedName name="__123Graph_XUSRATE">#REF!</definedName>
    <definedName name="__123Graph_XXRATE" hidden="1">#REF!</definedName>
    <definedName name="__dde">#REF!</definedName>
    <definedName name="__FDS_HYPERLINK_TOGGLE_STATE__" hidden="1">"ON"</definedName>
    <definedName name="__FDS_UNIQUE_RANGE_ID_GENERATOR_COUNTER" hidden="1">1</definedName>
    <definedName name="__FDS_USED_FOR_REUSING_RANGE_IDS_RECYCLE" localSheetId="6" hidden="1">{2865,2867,2868,2870,2869}</definedName>
    <definedName name="__FDS_USED_FOR_REUSING_RANGE_IDS_RECYCLE" localSheetId="11" hidden="1">{2865,2867,2868,2870,2869}</definedName>
    <definedName name="__FDS_USED_FOR_REUSING_RANGE_IDS_RECYCLE" hidden="1">{2865,2867,2868,2870,2869}</definedName>
    <definedName name="__SIM2">#REF!</definedName>
    <definedName name="__TCI1">#REF!</definedName>
    <definedName name="__TCI2">#REF!</definedName>
    <definedName name="_1___123Graph_AChart_1A">#REF!</definedName>
    <definedName name="_1__123Graph_AChart_1A" hidden="1">#REF!</definedName>
    <definedName name="_10___123Graph_XChart_3A">#REF!</definedName>
    <definedName name="_10__123Graph_BChart_1A" hidden="1">#REF!</definedName>
    <definedName name="_10__123Graph_BCHART_2" hidden="1">#REF!</definedName>
    <definedName name="_10__123Graph_CCHART_2" hidden="1">#REF!</definedName>
    <definedName name="_103__123Graph_BSEIGNOR">#REF!</definedName>
    <definedName name="_104__123Graph_BWB_ADJ_PRJ">#REF!</definedName>
    <definedName name="_105__123Graph_CMIMPMA_0">#REF!</definedName>
    <definedName name="_11___123Graph_XChart_4A">#REF!</definedName>
    <definedName name="_11__123Graph_AWB_ADJ_PRJ" hidden="1">#REF!</definedName>
    <definedName name="_11__123Graph_XCHART_1" hidden="1">#REF!</definedName>
    <definedName name="_11_0ju">#REF!</definedName>
    <definedName name="_116__123Graph_DGROWTH_CPI">#REF!</definedName>
    <definedName name="_117__123Graph_DMIMPMA_1">#REF!</definedName>
    <definedName name="_118__123Graph_EMIMPMA_0">#REF!</definedName>
    <definedName name="_119__123Graph_EMIMPMA_1">#REF!</definedName>
    <definedName name="_12__123Graph_AWB_ADJ_PRJ" hidden="1">#REF!</definedName>
    <definedName name="_12__123Graph_BCHART_1" hidden="1">#REF!</definedName>
    <definedName name="_12__123Graph_CCHART_1" hidden="1">#REF!</definedName>
    <definedName name="_12__123Graph_XChart_1A" hidden="1">#REF!</definedName>
    <definedName name="_12__123Graph_XCHART_2" hidden="1">#REF!</definedName>
    <definedName name="_120__123Graph_FMIMPMA_0">#REF!</definedName>
    <definedName name="_121__123Graph_XCHART_2">#REF!</definedName>
    <definedName name="_122__123Graph_XMIMPMA_0">#REF!</definedName>
    <definedName name="_123__123Graph_XR_BMONEY">#REF!</definedName>
    <definedName name="_1234graph_b" hidden="1">#REF!</definedName>
    <definedName name="_123Graph_A1">#REF!</definedName>
    <definedName name="_123graph_b">#REF!</definedName>
    <definedName name="_123graph_bgfs.3" hidden="1">#REF!</definedName>
    <definedName name="_123Graph_BGFS.4" hidden="1">#REF!</definedName>
    <definedName name="_123GRAPH_BTAX1" hidden="1">#REF!</definedName>
    <definedName name="_123GRAPH_C" hidden="1">#REF!</definedName>
    <definedName name="_123GRAPH_CGFS.3" hidden="1">#REF!</definedName>
    <definedName name="_123Graph_CTAX1" hidden="1">#REF!</definedName>
    <definedName name="_123GRAPH_CTAX2" hidden="1">#REF!</definedName>
    <definedName name="_123GRAPH_D" hidden="1">#REF!</definedName>
    <definedName name="_123GRAPH_DTAX1" hidden="1">#REF!</definedName>
    <definedName name="_123Graph_E" hidden="1">#REF!</definedName>
    <definedName name="_123GRAPH_ETAX2" hidden="1">#REF!</definedName>
    <definedName name="_123GRAPH_F" hidden="1">#REF!</definedName>
    <definedName name="_123GRAPH_K" hidden="1">#REF!</definedName>
    <definedName name="_123GRAPH_X" hidden="1">#REF!</definedName>
    <definedName name="_123GRAPH_XGFS.1" hidden="1">#REF!</definedName>
    <definedName name="_123GRAPH_XGFS.3" hidden="1">#REF!</definedName>
    <definedName name="_123gRAPH_XTAX1" hidden="1">#REF!</definedName>
    <definedName name="_123GRAPH_XTAX2" hidden="1">#REF!</definedName>
    <definedName name="_12no">#REF!</definedName>
    <definedName name="_13__123Graph_BCHART_1" hidden="1">#REF!</definedName>
    <definedName name="_13__123Graph_BCHART_2" hidden="1">#REF!</definedName>
    <definedName name="_13__123Graph_CCHART_2" hidden="1">#REF!</definedName>
    <definedName name="_13__123Graph_XChart_2A" hidden="1">#REF!</definedName>
    <definedName name="_134__123Graph_XREALEX_WAGE">#REF!</definedName>
    <definedName name="_14__123Graph_BCHART_2" hidden="1">#REF!</definedName>
    <definedName name="_14__123Graph_BWB_ADJ_PRJ" hidden="1">#REF!</definedName>
    <definedName name="_14__123Graph_XCHART_1" hidden="1">#REF!</definedName>
    <definedName name="_14__123Graph_XChart_3A" hidden="1">#REF!</definedName>
    <definedName name="_143">#REF!</definedName>
    <definedName name="_15__123Graph_CCHART_1" hidden="1">#REF!</definedName>
    <definedName name="_15__123Graph_XCHART_2" hidden="1">#REF!</definedName>
    <definedName name="_15__123Graph_XChart_4A" hidden="1">#REF!</definedName>
    <definedName name="_151">#REF!</definedName>
    <definedName name="_16__123Graph_CCHART_2" hidden="1">#REF!</definedName>
    <definedName name="_165_0ju">#REF!</definedName>
    <definedName name="_17__123Graph_XCHART_1" hidden="1">#REF!</definedName>
    <definedName name="_18__123Graph_XChart_1A" hidden="1">#REF!</definedName>
    <definedName name="_18__123Graph_XCHART_2" hidden="1">#REF!</definedName>
    <definedName name="_2___123Graph_AChart_2A">#REF!</definedName>
    <definedName name="_2__123Graph_AChart_1A" hidden="1">#REF!</definedName>
    <definedName name="_2__123Graph_AChart_2A" hidden="1">#REF!</definedName>
    <definedName name="_2__123Graph_ACHART_8">#REF!</definedName>
    <definedName name="_2__123Graph_BCHART_1A" hidden="1">#REF!</definedName>
    <definedName name="_20__123Graph_BWB_ADJ_PRJ" hidden="1">#REF!</definedName>
    <definedName name="_20__123Graph_XChart_2A" hidden="1">#REF!</definedName>
    <definedName name="_2005">#REF!</definedName>
    <definedName name="_21__123Graph_BWB_ADJ_PRJ" hidden="1">#REF!</definedName>
    <definedName name="_21__123Graph_CCHART_1" hidden="1">#REF!</definedName>
    <definedName name="_22__123Graph_CCHART_1" hidden="1">#REF!</definedName>
    <definedName name="_22__123Graph_CCHART_2" hidden="1">#REF!</definedName>
    <definedName name="_22__123Graph_XChart_3A" hidden="1">#REF!</definedName>
    <definedName name="_2262__FDSAUDITLINK__" localSheetId="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94__FDSAUDITLINK__" localSheetId="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3__123Graph_CCHART_2" hidden="1">#REF!</definedName>
    <definedName name="_23__123Graph_XCHART_1" hidden="1">#REF!</definedName>
    <definedName name="_23Macros_Import_.qbop">#REF!</definedName>
    <definedName name="_24__123Graph_ACHART_1">#REF!</definedName>
    <definedName name="_24__123Graph_XCHART_1" hidden="1">#REF!</definedName>
    <definedName name="_24__123Graph_XCHART_2" hidden="1">#REF!</definedName>
    <definedName name="_24__123Graph_XChart_4A" hidden="1">#REF!</definedName>
    <definedName name="_25__123Graph_ACHART_2">#REF!</definedName>
    <definedName name="_25__123Graph_XCHART_2" hidden="1">#REF!</definedName>
    <definedName name="_2753__FDSAUDITLINK__" localSheetId="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826__FDSAUDITLINK__" localSheetId="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3___123Graph_AChart_3A">#REF!</definedName>
    <definedName name="_3__123Graph_ACHART_1" hidden="1">#REF!</definedName>
    <definedName name="_3__123Graph_AChart_3A" hidden="1">#REF!</definedName>
    <definedName name="_3__123Graph_AGROWTH_CPI">#REF!</definedName>
    <definedName name="_3__123Graph_BCHART_8">#REF!</definedName>
    <definedName name="_3__123Graph_XCHART_1A" hidden="1">#REF!</definedName>
    <definedName name="_37__123Graph_ACPI_ER_LOG">#REF!</definedName>
    <definedName name="_3M">#REF!</definedName>
    <definedName name="_4___123Graph_AChart_4A">#REF!</definedName>
    <definedName name="_4__123Graph_ACHART_1" hidden="1">#REF!</definedName>
    <definedName name="_4__123Graph_ACHART_2" hidden="1">#REF!</definedName>
    <definedName name="_4__123Graph_AChart_2A" hidden="1">#REF!</definedName>
    <definedName name="_4__123Graph_AChart_4A" hidden="1">#REF!</definedName>
    <definedName name="_4__123Graph_CCHART_8">#REF!</definedName>
    <definedName name="_48__123Graph_AGROWTH_CPI">#REF!</definedName>
    <definedName name="_49__123Graph_AIBA_IBRD">#REF!</definedName>
    <definedName name="_5___123Graph_BChart_1A">#REF!</definedName>
    <definedName name="_5__123Graph_ACHART_2" hidden="1">#REF!</definedName>
    <definedName name="_5__123Graph_BChart_1A" hidden="1">#REF!</definedName>
    <definedName name="_5__123Graph_DCHART_8">#REF!</definedName>
    <definedName name="_50__123Graph_AINVENT_SALES">#REF!</definedName>
    <definedName name="_51__123Graph_AMIMPMA_1">#REF!</definedName>
    <definedName name="_52__123Graph_ANDA_OIN">#REF!</definedName>
    <definedName name="_53__123Graph_AR_BMONEY">#REF!</definedName>
    <definedName name="_6">#REF!</definedName>
    <definedName name="_6___123Graph_BChart_3A">#REF!</definedName>
    <definedName name="_6__123Graph_AChart_3A" hidden="1">#REF!</definedName>
    <definedName name="_6__123Graph_AIBA_IBRD" hidden="1">#REF!</definedName>
    <definedName name="_6__123Graph_BCHART_1" hidden="1">#REF!</definedName>
    <definedName name="_6__123Graph_DGROWTH_CPI">#REF!</definedName>
    <definedName name="_6__123Graph_XCHART_8">#REF!</definedName>
    <definedName name="_64__123Graph_ASEIGNOR">#REF!</definedName>
    <definedName name="_65__123Graph_AWB_ADJ_PRJ">#REF!</definedName>
    <definedName name="_66__123Graph_BCHART_1">#REF!</definedName>
    <definedName name="_67__123Graph_BCHART_2">#REF!</definedName>
    <definedName name="_6M">#REF!</definedName>
    <definedName name="_7___123Graph_BChart_4A">#REF!</definedName>
    <definedName name="_7__123Graph_BCHART_2" hidden="1">#REF!</definedName>
    <definedName name="_7__123Graph_XREALEX_WAGE">#REF!</definedName>
    <definedName name="_79__123Graph_BCPI_ER_LOG">#REF!</definedName>
    <definedName name="_8___123Graph_XChart_1A">#REF!</definedName>
    <definedName name="_8__123Graph_AChart_4A" hidden="1">#REF!</definedName>
    <definedName name="_8__123Graph_AIBA_IBRD" hidden="1">#REF!</definedName>
    <definedName name="_8__123Graph_AWB_ADJ_PRJ" hidden="1">#REF!</definedName>
    <definedName name="_8__123Graph_BCHART_1" hidden="1">#REF!</definedName>
    <definedName name="_9___123Graph_XChart_2A">#REF!</definedName>
    <definedName name="_9__123Graph_BCHART_1" hidden="1">#REF!</definedName>
    <definedName name="_9__123Graph_BCHART_2" hidden="1">#REF!</definedName>
    <definedName name="_9__123Graph_CCHART_1" hidden="1">#REF!</definedName>
    <definedName name="_90__123Graph_BIBA_IBRD">#REF!</definedName>
    <definedName name="_91__123Graph_BNDA_OIN">#REF!</definedName>
    <definedName name="_92__123Graph_BR_BMONEY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ScheduleElement_ScheduledRefresh" hidden="1">"'Partitions:2'"</definedName>
    <definedName name="_AMO_ScheduleElement_ScheduledRefresh.0" hidden="1">"'&lt;ScheduleElement name=""Actualización programada - EC02"" scriptPath=""C:\Users\99TUB685\Documents\My SAS Files\Add-In for Microsoft Office\EC02.1_XXXX ERTES RDL 302020 con reinicio act_tablas_de_sas - Actualizar.vbs"" userName=""REMORINO GOMEZ, ALVA'"</definedName>
    <definedName name="_AMO_ScheduleElement_ScheduledRefresh.1" hidden="1">"'RO""&gt;&lt;DeliveryActions /&gt;&lt;/ScheduleElement&gt;'"</definedName>
    <definedName name="_AMO_SingleObject_617124118_ROM_F0.SEC2.Tabulate_1.SEC1.BDY.Cross_tabular_summary_report_Table_1" hidden="1">#REF!</definedName>
    <definedName name="_AMO_SingleObject_617124118_ROM_F0.SEC2.Tabulate_1.SEC1.FTR.TXT1" hidden="1">#REF!</definedName>
    <definedName name="_AMO_SingleObject_617124118_ROM_F0.SEC2.Tabulate_1.SEC1.HDR.TXT1" hidden="1">#REF!</definedName>
    <definedName name="_AMO_SingleObject_761801143_ROM_F0.SEC2.Tabulate_1.SEC1.BDY.Cross_tabular_summary_report_Table_1" hidden="1">#REF!</definedName>
    <definedName name="_AMO_SingleObject_761801143_ROM_F0.SEC2.Tabulate_1.SEC1.FTR.TXT1" hidden="1">#REF!</definedName>
    <definedName name="_AMO_SingleObject_761801143_ROM_F0.SEC2.Tabulate_1.SEC1.HDR.TXT1" hidden="1">#REF!</definedName>
    <definedName name="_AMO_SingleObject_795376632_ROM_F0.SEC2.Tabulate_1.SEC1.BDY.Cross_tabular_summary_report_Table_1" hidden="1">#REF!</definedName>
    <definedName name="_AMO_SingleObject_795376632_ROM_F0.SEC2.Tabulate_1.SEC1.FTR.TXT1" hidden="1">#REF!</definedName>
    <definedName name="_AMO_SingleObject_795376632_ROM_F0.SEC2.Tabulate_1.SEC1.HDR.TXT1" hidden="1">#REF!</definedName>
    <definedName name="_AMO_SingleObject_863917869_ROM_F0.SEC2.Tabulate_1.SEC1.BDY.Cross_tabular_summary_report_Table_1" hidden="1">#REF!</definedName>
    <definedName name="_AMO_SingleObject_863917869_ROM_F0.SEC2.Tabulate_1.SEC1.FTR.TXT1" hidden="1">#REF!</definedName>
    <definedName name="_AMO_SingleObject_863917869_ROM_F0.SEC2.Tabulate_1.SEC1.HDR.TXT1" hidden="1">#REF!</definedName>
    <definedName name="_AMO_UniqueIdentifier" hidden="1">"'611f1fb8-c223-48c7-bca5-898713a7b5eb'"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B7DE21340CD4462A8CDB44AABD4F9DA7.edm" hidden="1">#REF!</definedName>
    <definedName name="_bdm.FastTrackBookmark.1_10_2007_12_28_19_PM.edm" hidden="1">#REF!</definedName>
    <definedName name="_bdm.FastTrackBookmark.1_10_2007_12_28_30_PM.edm" hidden="1">#REF!</definedName>
    <definedName name="_bdm.FastTrackBookmark.1_15_2007_5_39_13_PM.edm" hidden="1">#REF!</definedName>
    <definedName name="_bdm.FastTrackBookmark.1_20_2007_2_24_46_PM.edm" hidden="1">#REF!</definedName>
    <definedName name="_bdm.FastTrackBookmark.1_21_2007_9_18_20_PM.edm" hidden="1">#REF!</definedName>
    <definedName name="_bdm.FastTrackBookmark.1_22_2007_6_06_36_PM.edm" hidden="1">#REF!</definedName>
    <definedName name="_bdm.FastTrackBookmark.11_15_2006_11_26_49_PM.edm" hidden="1">#REF!</definedName>
    <definedName name="_bdm.FastTrackBookmark.11_15_2006_5_19_46_PM.edm" hidden="1">#REF!</definedName>
    <definedName name="_bdm.FastTrackBookmark.11_21_2006_8_44_58_PM.edm" hidden="1">#REF!</definedName>
    <definedName name="_bdm.FastTrackBookmark.11_21_2006_8_45_02_PM.edm" hidden="1">#REF!</definedName>
    <definedName name="_BKWH">#REF!</definedName>
    <definedName name="_cls1">#REF!</definedName>
    <definedName name="_cls2">#REF!</definedName>
    <definedName name="_cls3">#REF!</definedName>
    <definedName name="_cls4">#REF!</definedName>
    <definedName name="_cri21292" localSheetId="7">[4]CONTROL!$A$269:$F$270</definedName>
    <definedName name="_cri21292" localSheetId="11">#REF!</definedName>
    <definedName name="_cri21292" localSheetId="12">[4]CONTROL!$A$269:$F$270</definedName>
    <definedName name="_cri21292">#REF!</definedName>
    <definedName name="_cri21293" localSheetId="7">[4]CONTROL!$A$271:$F$272</definedName>
    <definedName name="_cri21293" localSheetId="11">#REF!</definedName>
    <definedName name="_cri21293" localSheetId="12">[4]CONTROL!$A$271:$F$272</definedName>
    <definedName name="_cri21293">#REF!</definedName>
    <definedName name="_cri21294" localSheetId="7">[4]CONTROL!$A$273:$F$274</definedName>
    <definedName name="_cri21294" localSheetId="11">#REF!</definedName>
    <definedName name="_cri21294" localSheetId="12">[4]CONTROL!$A$273:$F$274</definedName>
    <definedName name="_cri21294">#REF!</definedName>
    <definedName name="_cri21295" localSheetId="7">[4]CONTROL!$A$275:$F$276</definedName>
    <definedName name="_cri21295" localSheetId="11">#REF!</definedName>
    <definedName name="_cri21295" localSheetId="12">[4]CONTROL!$A$275:$F$276</definedName>
    <definedName name="_cri21295">#REF!</definedName>
    <definedName name="_cri21296" localSheetId="7">[4]CONTROL!$A$277:$F$278</definedName>
    <definedName name="_cri21296" localSheetId="11">#REF!</definedName>
    <definedName name="_cri21296" localSheetId="12">[4]CONTROL!$A$277:$F$278</definedName>
    <definedName name="_cri21296">#REF!</definedName>
    <definedName name="_CRI2192" localSheetId="7">[4]CONTROL!$A$136:$F$137</definedName>
    <definedName name="_CRI2192" localSheetId="11">#REF!</definedName>
    <definedName name="_CRI2192" localSheetId="12">[4]CONTROL!$A$136:$F$137</definedName>
    <definedName name="_CRI2192">#REF!</definedName>
    <definedName name="_CRI2193" localSheetId="7">[4]CONTROL!$A$164:$F$165</definedName>
    <definedName name="_CRI2193" localSheetId="11">#REF!</definedName>
    <definedName name="_CRI2193" localSheetId="12">[4]CONTROL!$A$164:$F$165</definedName>
    <definedName name="_CRI2193">#REF!</definedName>
    <definedName name="_CRI2194" localSheetId="7">[4]CONTROL!$A$189:$F$190</definedName>
    <definedName name="_CRI2194" localSheetId="11">#REF!</definedName>
    <definedName name="_CRI2194" localSheetId="12">[4]CONTROL!$A$189:$F$190</definedName>
    <definedName name="_CRI2194">#REF!</definedName>
    <definedName name="_CRI2195" localSheetId="7">[4]CONTROL!$A$216:$F$217</definedName>
    <definedName name="_CRI2195" localSheetId="11">#REF!</definedName>
    <definedName name="_CRI2195" localSheetId="12">[4]CONTROL!$A$216:$F$217</definedName>
    <definedName name="_CRI2195">#REF!</definedName>
    <definedName name="_CRI2196" localSheetId="7">[4]CONTROL!$A$245:$F$246</definedName>
    <definedName name="_CRI2196" localSheetId="11">#REF!</definedName>
    <definedName name="_CRI2196" localSheetId="12">[4]CONTROL!$A$245:$F$246</definedName>
    <definedName name="_CRI2196">#REF!</definedName>
    <definedName name="_CRI2292" localSheetId="7">[4]CONTROL!$A$138:$F$139</definedName>
    <definedName name="_CRI2292" localSheetId="11">#REF!</definedName>
    <definedName name="_CRI2292" localSheetId="12">[4]CONTROL!$A$138:$F$139</definedName>
    <definedName name="_CRI2292">#REF!</definedName>
    <definedName name="_CRI2293" localSheetId="7">[4]CONTROL!$A$166:$F$167</definedName>
    <definedName name="_CRI2293" localSheetId="11">#REF!</definedName>
    <definedName name="_CRI2293" localSheetId="12">[4]CONTROL!$A$166:$F$167</definedName>
    <definedName name="_CRI2293">#REF!</definedName>
    <definedName name="_CRI2294" localSheetId="7">[4]CONTROL!$A$191:$F$192</definedName>
    <definedName name="_CRI2294" localSheetId="11">#REF!</definedName>
    <definedName name="_CRI2294" localSheetId="12">[4]CONTROL!$A$191:$F$192</definedName>
    <definedName name="_CRI2294">#REF!</definedName>
    <definedName name="_CRI2295" localSheetId="7">[4]CONTROL!$A$218:$F$219</definedName>
    <definedName name="_CRI2295" localSheetId="11">#REF!</definedName>
    <definedName name="_CRI2295" localSheetId="12">[4]CONTROL!$A$218:$F$219</definedName>
    <definedName name="_CRI2295">#REF!</definedName>
    <definedName name="_CRI2296" localSheetId="7">[4]CONTROL!$A$247:$F$248</definedName>
    <definedName name="_CRI2296" localSheetId="11">#REF!</definedName>
    <definedName name="_CRI2296" localSheetId="12">[4]CONTROL!$A$247:$F$248</definedName>
    <definedName name="_CRI2296">#REF!</definedName>
    <definedName name="_CRI2392" localSheetId="7">[4]CONTROL!$A$140:$F$141</definedName>
    <definedName name="_CRI2392" localSheetId="11">#REF!</definedName>
    <definedName name="_CRI2392" localSheetId="12">[4]CONTROL!$A$140:$F$141</definedName>
    <definedName name="_CRI2392">#REF!</definedName>
    <definedName name="_CRI2393" localSheetId="7">[4]CONTROL!$A$168:$F$169</definedName>
    <definedName name="_CRI2393" localSheetId="11">#REF!</definedName>
    <definedName name="_CRI2393" localSheetId="12">[4]CONTROL!$A$168:$F$169</definedName>
    <definedName name="_CRI2393">#REF!</definedName>
    <definedName name="_CRI2394" localSheetId="7">[4]CONTROL!$A$193:$F$194</definedName>
    <definedName name="_CRI2394" localSheetId="11">#REF!</definedName>
    <definedName name="_CRI2394" localSheetId="12">[4]CONTROL!$A$193:$F$194</definedName>
    <definedName name="_CRI2394">#REF!</definedName>
    <definedName name="_CRI2395" localSheetId="7">[4]CONTROL!$A$220:$F$221</definedName>
    <definedName name="_CRI2395" localSheetId="11">#REF!</definedName>
    <definedName name="_CRI2395" localSheetId="12">[4]CONTROL!$A$220:$F$221</definedName>
    <definedName name="_CRI2395">#REF!</definedName>
    <definedName name="_CRI2396" localSheetId="7">[4]CONTROL!$A$249:$F$250</definedName>
    <definedName name="_CRI2396" localSheetId="11">#REF!</definedName>
    <definedName name="_CRI2396" localSheetId="12">[4]CONTROL!$A$249:$F$250</definedName>
    <definedName name="_CRI2396">#REF!</definedName>
    <definedName name="_CRI2492" localSheetId="7">[4]CONTROL!$A$142:$F$143</definedName>
    <definedName name="_CRI2492" localSheetId="11">#REF!</definedName>
    <definedName name="_CRI2492" localSheetId="12">[4]CONTROL!$A$142:$F$143</definedName>
    <definedName name="_CRI2492">#REF!</definedName>
    <definedName name="_CRI2493" localSheetId="7">[4]CONTROL!$A$170:$F$171</definedName>
    <definedName name="_CRI2493" localSheetId="11">#REF!</definedName>
    <definedName name="_CRI2493" localSheetId="12">[4]CONTROL!$A$170:$F$171</definedName>
    <definedName name="_CRI2493">#REF!</definedName>
    <definedName name="_CRI2494" localSheetId="7">[4]CONTROL!$A$195:$F$196</definedName>
    <definedName name="_CRI2494" localSheetId="11">#REF!</definedName>
    <definedName name="_CRI2494" localSheetId="12">[4]CONTROL!$A$195:$F$196</definedName>
    <definedName name="_CRI2494">#REF!</definedName>
    <definedName name="_CRI2495" localSheetId="7">[4]CONTROL!$A$222:$F$223</definedName>
    <definedName name="_CRI2495" localSheetId="11">#REF!</definedName>
    <definedName name="_CRI2495" localSheetId="12">[4]CONTROL!$A$222:$F$223</definedName>
    <definedName name="_CRI2495">#REF!</definedName>
    <definedName name="_CRI2496" localSheetId="7">[4]CONTROL!$A$251:$F$252</definedName>
    <definedName name="_CRI2496" localSheetId="11">#REF!</definedName>
    <definedName name="_CRI2496" localSheetId="12">[4]CONTROL!$A$251:$F$252</definedName>
    <definedName name="_CRI2496">#REF!</definedName>
    <definedName name="_CRI2592" localSheetId="7">[4]CONTROL!$A$144:$F$145</definedName>
    <definedName name="_CRI2592" localSheetId="11">#REF!</definedName>
    <definedName name="_CRI2592" localSheetId="12">[4]CONTROL!$A$144:$F$145</definedName>
    <definedName name="_CRI2592">#REF!</definedName>
    <definedName name="_CRI2593" localSheetId="7">[4]CONTROL!$A$172:$F$173</definedName>
    <definedName name="_CRI2593" localSheetId="11">#REF!</definedName>
    <definedName name="_CRI2593" localSheetId="12">[4]CONTROL!$A$172:$F$173</definedName>
    <definedName name="_CRI2593">#REF!</definedName>
    <definedName name="_CRI2594" localSheetId="7">[4]CONTROL!$A$197:$F$198</definedName>
    <definedName name="_CRI2594" localSheetId="11">#REF!</definedName>
    <definedName name="_CRI2594" localSheetId="12">[4]CONTROL!$A$197:$F$198</definedName>
    <definedName name="_CRI2594">#REF!</definedName>
    <definedName name="_CRI2595" localSheetId="7">[4]CONTROL!$A$226:$F$227</definedName>
    <definedName name="_CRI2595" localSheetId="11">#REF!</definedName>
    <definedName name="_CRI2595" localSheetId="12">[4]CONTROL!$A$226:$F$227</definedName>
    <definedName name="_CRI2595">#REF!</definedName>
    <definedName name="_CRI2596" localSheetId="7">[4]CONTROL!$A$253:$F$254</definedName>
    <definedName name="_CRI2596" localSheetId="11">#REF!</definedName>
    <definedName name="_CRI2596" localSheetId="12">[4]CONTROL!$A$253:$F$254</definedName>
    <definedName name="_CRI2596">#REF!</definedName>
    <definedName name="_CRI3192" localSheetId="7">[4]CONTROL!$A$146:$F$147</definedName>
    <definedName name="_CRI3192" localSheetId="11">#REF!</definedName>
    <definedName name="_CRI3192" localSheetId="12">[4]CONTROL!$A$146:$F$147</definedName>
    <definedName name="_CRI3192">#REF!</definedName>
    <definedName name="_CRI3193" localSheetId="7">[4]CONTROL!$A$174:$F$175</definedName>
    <definedName name="_CRI3193" localSheetId="11">#REF!</definedName>
    <definedName name="_CRI3193" localSheetId="12">[4]CONTROL!$A$174:$F$175</definedName>
    <definedName name="_CRI3193">#REF!</definedName>
    <definedName name="_CRI3194" localSheetId="7">[4]CONTROL!$A$199:$F$200</definedName>
    <definedName name="_CRI3194" localSheetId="11">#REF!</definedName>
    <definedName name="_CRI3194" localSheetId="12">[4]CONTROL!$A$199:$F$200</definedName>
    <definedName name="_CRI3194">#REF!</definedName>
    <definedName name="_CRI3195" localSheetId="7">[4]CONTROL!$A$228:$F$229</definedName>
    <definedName name="_CRI3195" localSheetId="11">#REF!</definedName>
    <definedName name="_CRI3195" localSheetId="12">[4]CONTROL!$A$228:$F$229</definedName>
    <definedName name="_CRI3195">#REF!</definedName>
    <definedName name="_CRI3196" localSheetId="7">[4]CONTROL!$A$255:$F$256</definedName>
    <definedName name="_CRI3196" localSheetId="11">#REF!</definedName>
    <definedName name="_CRI3196" localSheetId="12">[4]CONTROL!$A$255:$F$256</definedName>
    <definedName name="_CRI3196">#REF!</definedName>
    <definedName name="_CRI3292" localSheetId="7">[4]CONTROL!$A$148:$F$149</definedName>
    <definedName name="_CRI3292" localSheetId="11">#REF!</definedName>
    <definedName name="_CRI3292" localSheetId="12">[4]CONTROL!$A$148:$F$149</definedName>
    <definedName name="_CRI3292">#REF!</definedName>
    <definedName name="_CRI3293" localSheetId="7">[4]CONTROL!$A$176:$F$177</definedName>
    <definedName name="_CRI3293" localSheetId="11">#REF!</definedName>
    <definedName name="_CRI3293" localSheetId="12">[4]CONTROL!$A$176:$F$177</definedName>
    <definedName name="_CRI3293">#REF!</definedName>
    <definedName name="_CRI3294" localSheetId="7">[4]CONTROL!$A$201:$F$202</definedName>
    <definedName name="_CRI3294" localSheetId="11">#REF!</definedName>
    <definedName name="_CRI3294" localSheetId="12">[4]CONTROL!$A$201:$F$202</definedName>
    <definedName name="_CRI3294">#REF!</definedName>
    <definedName name="_CRI3295" localSheetId="7">[4]CONTROL!$A$232:$F$233</definedName>
    <definedName name="_CRI3295" localSheetId="11">#REF!</definedName>
    <definedName name="_CRI3295" localSheetId="12">[4]CONTROL!$A$232:$F$233</definedName>
    <definedName name="_CRI3295">#REF!</definedName>
    <definedName name="_CRI3296" localSheetId="7">[4]CONTROL!$A$257:$F$258</definedName>
    <definedName name="_CRI3296" localSheetId="11">#REF!</definedName>
    <definedName name="_CRI3296" localSheetId="12">[4]CONTROL!$A$257:$F$258</definedName>
    <definedName name="_CRI3296">#REF!</definedName>
    <definedName name="_CRI3392" localSheetId="7">[4]CONTROL!$A$150:$F$151</definedName>
    <definedName name="_CRI3392" localSheetId="11">#REF!</definedName>
    <definedName name="_CRI3392" localSheetId="12">[4]CONTROL!$A$150:$F$151</definedName>
    <definedName name="_CRI3392">#REF!</definedName>
    <definedName name="_CRI3393" localSheetId="7">[4]CONTROL!$A$178:$F$179</definedName>
    <definedName name="_CRI3393" localSheetId="11">#REF!</definedName>
    <definedName name="_CRI3393" localSheetId="12">[4]CONTROL!$A$178:$F$179</definedName>
    <definedName name="_CRI3393">#REF!</definedName>
    <definedName name="_CRI3394" localSheetId="7">[4]CONTROL!$A$205:$F$206</definedName>
    <definedName name="_CRI3394" localSheetId="11">#REF!</definedName>
    <definedName name="_CRI3394" localSheetId="12">[4]CONTROL!$A$205:$F$206</definedName>
    <definedName name="_CRI3394">#REF!</definedName>
    <definedName name="_CRI3395" localSheetId="7">[4]CONTROL!$A$234:$F$235</definedName>
    <definedName name="_CRI3395" localSheetId="11">#REF!</definedName>
    <definedName name="_CRI3395" localSheetId="12">[4]CONTROL!$A$234:$F$235</definedName>
    <definedName name="_CRI3395">#REF!</definedName>
    <definedName name="_CRI3396" localSheetId="7">[4]CONTROL!$A$259:$F$260</definedName>
    <definedName name="_CRI3396" localSheetId="11">#REF!</definedName>
    <definedName name="_CRI3396" localSheetId="12">[4]CONTROL!$A$259:$F$260</definedName>
    <definedName name="_CRI3396">#REF!</definedName>
    <definedName name="_CRI3492" localSheetId="7">[4]CONTROL!$A$152:$F$153</definedName>
    <definedName name="_CRI3492" localSheetId="11">#REF!</definedName>
    <definedName name="_CRI3492" localSheetId="12">[4]CONTROL!$A$152:$F$153</definedName>
    <definedName name="_CRI3492">#REF!</definedName>
    <definedName name="_CRI3493" localSheetId="7">[4]CONTROL!$A$180:$F$181</definedName>
    <definedName name="_CRI3493" localSheetId="11">#REF!</definedName>
    <definedName name="_CRI3493" localSheetId="12">[4]CONTROL!$A$180:$F$181</definedName>
    <definedName name="_CRI3493">#REF!</definedName>
    <definedName name="_CRI3494" localSheetId="7">[4]CONTROL!$A$207:$F$208</definedName>
    <definedName name="_CRI3494" localSheetId="11">#REF!</definedName>
    <definedName name="_CRI3494" localSheetId="12">[4]CONTROL!$A$207:$F$208</definedName>
    <definedName name="_CRI3494">#REF!</definedName>
    <definedName name="_CRI3495" localSheetId="7">[4]CONTROL!$A$236:$F$237</definedName>
    <definedName name="_CRI3495" localSheetId="11">#REF!</definedName>
    <definedName name="_CRI3495" localSheetId="12">[4]CONTROL!$A$236:$F$237</definedName>
    <definedName name="_CRI3495">#REF!</definedName>
    <definedName name="_CRI3496" localSheetId="7">[4]CONTROL!$A$261:$F$262</definedName>
    <definedName name="_CRI3496" localSheetId="11">#REF!</definedName>
    <definedName name="_CRI3496" localSheetId="12">[4]CONTROL!$A$261:$F$262</definedName>
    <definedName name="_CRI3496">#REF!</definedName>
    <definedName name="_CRI5192" localSheetId="7">[4]CONTROL!$A$154:$F$155</definedName>
    <definedName name="_CRI5192" localSheetId="11">#REF!</definedName>
    <definedName name="_CRI5192" localSheetId="12">[4]CONTROL!$A$154:$F$155</definedName>
    <definedName name="_CRI5192">#REF!</definedName>
    <definedName name="_CRI5193" localSheetId="7">[4]CONTROL!$A$182:$F$183</definedName>
    <definedName name="_CRI5193" localSheetId="11">#REF!</definedName>
    <definedName name="_CRI5193" localSheetId="12">[4]CONTROL!$A$182:$F$183</definedName>
    <definedName name="_CRI5193">#REF!</definedName>
    <definedName name="_CRI5194" localSheetId="7">[4]CONTROL!$A$209:$F$210</definedName>
    <definedName name="_CRI5194" localSheetId="11">#REF!</definedName>
    <definedName name="_CRI5194" localSheetId="12">[4]CONTROL!$A$209:$F$210</definedName>
    <definedName name="_CRI5194">#REF!</definedName>
    <definedName name="_CRI5195" localSheetId="7">[4]CONTROL!$A$238:$F$239</definedName>
    <definedName name="_CRI5195" localSheetId="11">#REF!</definedName>
    <definedName name="_CRI5195" localSheetId="12">[4]CONTROL!$A$238:$F$239</definedName>
    <definedName name="_CRI5195">#REF!</definedName>
    <definedName name="_CRI5196" localSheetId="7">[4]CONTROL!$A$263:$F$264</definedName>
    <definedName name="_CRI5196" localSheetId="11">#REF!</definedName>
    <definedName name="_CRI5196" localSheetId="12">[4]CONTROL!$A$263:$F$264</definedName>
    <definedName name="_CRI5196">#REF!</definedName>
    <definedName name="_CRI5292" localSheetId="7">[4]CONTROL!$A$158:$F$159</definedName>
    <definedName name="_CRI5292" localSheetId="11">#REF!</definedName>
    <definedName name="_CRI5292" localSheetId="12">[4]CONTROL!$A$158:$F$159</definedName>
    <definedName name="_CRI5292">#REF!</definedName>
    <definedName name="_CRI5293" localSheetId="7">[4]CONTROL!$A$184:$F$185</definedName>
    <definedName name="_CRI5293" localSheetId="11">#REF!</definedName>
    <definedName name="_CRI5293" localSheetId="12">[4]CONTROL!$A$184:$F$185</definedName>
    <definedName name="_CRI5293">#REF!</definedName>
    <definedName name="_CRI5294" localSheetId="7">[4]CONTROL!$A$211:$F$212</definedName>
    <definedName name="_CRI5294" localSheetId="11">#REF!</definedName>
    <definedName name="_CRI5294" localSheetId="12">[4]CONTROL!$A$211:$F$212</definedName>
    <definedName name="_CRI5294">#REF!</definedName>
    <definedName name="_CRI5295" localSheetId="7">[4]CONTROL!$A$240:$F$241</definedName>
    <definedName name="_CRI5295" localSheetId="11">#REF!</definedName>
    <definedName name="_CRI5295" localSheetId="12">[4]CONTROL!$A$240:$F$241</definedName>
    <definedName name="_CRI5295">#REF!</definedName>
    <definedName name="_CRI5296" localSheetId="7">[4]CONTROL!$A$265:$F$266</definedName>
    <definedName name="_CRI5296" localSheetId="11">#REF!</definedName>
    <definedName name="_CRI5296" localSheetId="12">[4]CONTROL!$A$265:$F$266</definedName>
    <definedName name="_CRI5296">#REF!</definedName>
    <definedName name="_CRI5392" localSheetId="7">[4]CONTROL!$A$160:$F$161</definedName>
    <definedName name="_CRI5392" localSheetId="11">#REF!</definedName>
    <definedName name="_CRI5392" localSheetId="12">[4]CONTROL!$A$160:$F$161</definedName>
    <definedName name="_CRI5392">#REF!</definedName>
    <definedName name="_CRI5393" localSheetId="7">[4]CONTROL!$A$186:$F$187</definedName>
    <definedName name="_CRI5393" localSheetId="11">#REF!</definedName>
    <definedName name="_CRI5393" localSheetId="12">[4]CONTROL!$A$186:$F$187</definedName>
    <definedName name="_CRI5393">#REF!</definedName>
    <definedName name="_CRI5394" localSheetId="7">[4]CONTROL!$A$213:$F$214</definedName>
    <definedName name="_CRI5394" localSheetId="11">#REF!</definedName>
    <definedName name="_CRI5394" localSheetId="12">[4]CONTROL!$A$213:$F$214</definedName>
    <definedName name="_CRI5394">#REF!</definedName>
    <definedName name="_CRI5395" localSheetId="7">[4]CONTROL!$A$242:$F$243</definedName>
    <definedName name="_CRI5395" localSheetId="11">#REF!</definedName>
    <definedName name="_CRI5395" localSheetId="12">[4]CONTROL!$A$242:$F$243</definedName>
    <definedName name="_CRI5395">#REF!</definedName>
    <definedName name="_CRI5396" localSheetId="7">[4]CONTROL!$A$267:$F$268</definedName>
    <definedName name="_CRI5396" localSheetId="11">#REF!</definedName>
    <definedName name="_CRI5396" localSheetId="12">[4]CONTROL!$A$267:$F$268</definedName>
    <definedName name="_CRI5396">#REF!</definedName>
    <definedName name="_cua1">#REF!</definedName>
    <definedName name="_CUA10">#REF!</definedName>
    <definedName name="_CUA11">#REF!</definedName>
    <definedName name="_CUA12">#REF!</definedName>
    <definedName name="_CUA13">#REF!</definedName>
    <definedName name="_CUA14">#REF!</definedName>
    <definedName name="_CUA15">#REF!</definedName>
    <definedName name="_CUA16">#REF!</definedName>
    <definedName name="_CUA2">#REF!</definedName>
    <definedName name="_cua2000">#REF!</definedName>
    <definedName name="_CUA3">#REF!</definedName>
    <definedName name="_CUA4">#REF!</definedName>
    <definedName name="_CUA5">#REF!</definedName>
    <definedName name="_CUA6">#REF!</definedName>
    <definedName name="_CUA7">#REF!</definedName>
    <definedName name="_CUA9">#REF!</definedName>
    <definedName name="_Dist_Bin">#REF!</definedName>
    <definedName name="_Dist_Values">#REF!</definedName>
    <definedName name="_DLX1.EUR">#REF!</definedName>
    <definedName name="_DLX2.EUC">#REF!</definedName>
    <definedName name="_Fil2" hidden="1">#REF!</definedName>
    <definedName name="_Fil3" hidden="1">#REF!</definedName>
    <definedName name="_Fill">#REF!</definedName>
    <definedName name="_Fill1">#REF!</definedName>
    <definedName name="_Fill4" hidden="1">#REF!</definedName>
    <definedName name="_Filler">#REF!</definedName>
    <definedName name="_FILLL">#REF!</definedName>
    <definedName name="_filterd">#REF!</definedName>
    <definedName name="_xlnm._FilterDatabase" localSheetId="5" hidden="1">'Gráfico 11'!#REF!</definedName>
    <definedName name="_xlnm._FilterDatabase">#REF!</definedName>
    <definedName name="_gt4" localSheetId="6">{#N/A,#N/A,FALSE,"DOC";"TB_28",#N/A,FALSE,"FITB_28";"TB_91",#N/A,FALSE,"FITB_91";"TB_182",#N/A,FALSE,"FITB_182";"TB_273",#N/A,FALSE,"FITB_273";"TB_364",#N/A,FALSE,"FITB_364 ";"SUMMARY",#N/A,FALSE,"Summary"}</definedName>
    <definedName name="_gt4" localSheetId="11">{#N/A,#N/A,FALSE,"DOC";"TB_28",#N/A,FALSE,"FITB_28";"TB_91",#N/A,FALSE,"FITB_91";"TB_182",#N/A,FALSE,"FITB_182";"TB_273",#N/A,FALSE,"FITB_273";"TB_364",#N/A,FALSE,"FITB_364 ";"SUMMARY",#N/A,FALSE,"Summary"}</definedName>
    <definedName name="_gt4">{#N/A,#N/A,FALSE,"DOC";"TB_28",#N/A,FALSE,"FITB_28";"TB_91",#N/A,FALSE,"FITB_91";"TB_182",#N/A,FALSE,"FITB_182";"TB_273",#N/A,FALSE,"FITB_273";"TB_364",#N/A,FALSE,"FITB_364 ";"SUMMARY",#N/A,FALSE,"Summary"}</definedName>
    <definedName name="_imp1">#REF!,#REF!,#REF!,#REF!,#REF!,#REF!</definedName>
    <definedName name="_imp2">#REF!,#REF!,#REF!,#REF!,#REF!,#REF!</definedName>
    <definedName name="_Key1">#REF!</definedName>
    <definedName name="_Key2">#REF!</definedName>
    <definedName name="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2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OKUP">#REF!</definedName>
    <definedName name="_Order1" hidden="1">255</definedName>
    <definedName name="_Order2" hidden="1">255</definedName>
    <definedName name="_Parse_In">#REF!</definedName>
    <definedName name="_Parse_Out">#REF!</definedName>
    <definedName name="_PGE2011">#REF!</definedName>
    <definedName name="_Regression_Int">1</definedName>
    <definedName name="_Regression_Out" hidden="1">#REF!</definedName>
    <definedName name="_Regression_X">#REF!</definedName>
    <definedName name="_Regression_Y">#REF!</definedName>
    <definedName name="_SIM2">#REF!</definedName>
    <definedName name="_Sort">#REF!</definedName>
    <definedName name="_SRT11" localSheetId="6">{"Minpmon",#N/A,FALSE,"Monthinput"}</definedName>
    <definedName name="_SRT11" localSheetId="11">{"Minpmon",#N/A,FALSE,"Monthinput"}</definedName>
    <definedName name="_SRT11">{"Minpmon",#N/A,FALSE,"Monthinput"}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I1">#REF!</definedName>
    <definedName name="_TCI2">#REF!</definedName>
    <definedName name="_ty">#REF!</definedName>
    <definedName name="_Z">#REF!</definedName>
    <definedName name="a">#REF!</definedName>
    <definedName name="a1ç">#REF!</definedName>
    <definedName name="a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a">#REF!</definedName>
    <definedName name="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6">{"Riqfin97",#N/A,FALSE,"Tran";"Riqfinpro",#N/A,FALSE,"Tran"}</definedName>
    <definedName name="aaaaaa" localSheetId="11">{"Riqfin97",#N/A,FALSE,"Tran";"Riqfinpro",#N/A,FALSE,"Tran"}</definedName>
    <definedName name="aaaaaa">{"Riqfin97",#N/A,FALSE,"Tran";"Riqfinpro",#N/A,FALSE,"Tran"}</definedName>
    <definedName name="aaaaaaaaaa">#N/A</definedName>
    <definedName name="abcd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E">#REF!</definedName>
    <definedName name="abu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cessDatabase" hidden="1">"C:\ncux\bud\rms_inv.mdb"</definedName>
    <definedName name="Action">#REF!</definedName>
    <definedName name="actReg">#REF!</definedName>
    <definedName name="actRegCode">#REF!</definedName>
    <definedName name="actRegValue">#REF!</definedName>
    <definedName name="ACwvu.PLA1.">#REF!</definedName>
    <definedName name="ACwvu.PLA2.">#REF!</definedName>
    <definedName name="ACwvu.Print.">#REF!</definedName>
    <definedName name="AHAHAHA">#REF!</definedName>
    <definedName name="alara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geriaCCS1" hidden="1">#REF!</definedName>
    <definedName name="Ambito">#REF!</definedName>
    <definedName name="AMPO5">"Gráfico 8"</definedName>
    <definedName name="Andalucia">#REF!</definedName>
    <definedName name="AnoCargaDatos">#REF!</definedName>
    <definedName name="AnoReferencia">#REF!</definedName>
    <definedName name="anscount">1</definedName>
    <definedName name="AÑO">#REF!</definedName>
    <definedName name="Años">#REF!</definedName>
    <definedName name="AppearanceW" localSheetId="5">#REF!</definedName>
    <definedName name="AppearanceW" localSheetId="6">#REF!</definedName>
    <definedName name="AppearanceW" localSheetId="11">#REF!</definedName>
    <definedName name="AppearanceW">#REF!</definedName>
    <definedName name="_xlnm.Extract">#REF!</definedName>
    <definedName name="_xlnm.Print_Area">#REF!</definedName>
    <definedName name="areaA01">#REF!</definedName>
    <definedName name="areaA01a">#REF!</definedName>
    <definedName name="areaA01m">#REF!</definedName>
    <definedName name="areaA02">#REF!</definedName>
    <definedName name="areaA02a">#REF!</definedName>
    <definedName name="areaA03">#REF!</definedName>
    <definedName name="areaA04">#REF!</definedName>
    <definedName name="areaA05a">#REF!</definedName>
    <definedName name="areaA05b">#REF!</definedName>
    <definedName name="areaA06">#REF!</definedName>
    <definedName name="areaA07a">#REF!</definedName>
    <definedName name="areaA08">#REF!</definedName>
    <definedName name="areaA09a">#REF!</definedName>
    <definedName name="areaA10">#REF!</definedName>
    <definedName name="areaA11">#REF!</definedName>
    <definedName name="areaA12">#REF!</definedName>
    <definedName name="areaA13">#REF!</definedName>
    <definedName name="areaA14">#REF!</definedName>
    <definedName name="areaA15">#REF!</definedName>
    <definedName name="areaA16">#REF!</definedName>
    <definedName name="areaA17">#REF!</definedName>
    <definedName name="areaA18">#REF!</definedName>
    <definedName name="areaA19">#REF!</definedName>
    <definedName name="areaA20a">#REF!</definedName>
    <definedName name="areaA20b">#REF!</definedName>
    <definedName name="areaA20c">#REF!</definedName>
    <definedName name="areaA20d">#REF!</definedName>
    <definedName name="areaA20e">#REF!</definedName>
    <definedName name="areaA20f">#REF!</definedName>
    <definedName name="areaA21">#REF!</definedName>
    <definedName name="areaA22">#REF!</definedName>
    <definedName name="areaA23">#REF!</definedName>
    <definedName name="areaA24">#REF!</definedName>
    <definedName name="areaA25">#REF!</definedName>
    <definedName name="areaA26">#REF!</definedName>
    <definedName name="areaA30">#REF!</definedName>
    <definedName name="areaA32">#REF!</definedName>
    <definedName name="areaA33">#REF!</definedName>
    <definedName name="areaA50">#REF!</definedName>
    <definedName name="areaA60">#REF!</definedName>
    <definedName name="areaA60a">#REF!</definedName>
    <definedName name="areaA61a">#REF!</definedName>
    <definedName name="areaA70">#REF!</definedName>
    <definedName name="areaA71a">#REF!</definedName>
    <definedName name="areaA71b">#REF!</definedName>
    <definedName name="areaA71c">#REF!</definedName>
    <definedName name="areaA72">#REF!</definedName>
    <definedName name="areaA73">#REF!</definedName>
    <definedName name="areaA73a">#REF!</definedName>
    <definedName name="areaA73b">#REF!</definedName>
    <definedName name="areaA74">#REF!</definedName>
    <definedName name="areaA75">#REF!</definedName>
    <definedName name="areaA76">#REF!</definedName>
    <definedName name="areaA77">#REF!</definedName>
    <definedName name="areaA80">#REF!</definedName>
    <definedName name="areaA81">#REF!</definedName>
    <definedName name="areaA99">#REF!</definedName>
    <definedName name="Argentin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s" localSheetId="6">{"TRADE_COMP",#N/A,FALSE,"TAB23APP";"BOP",#N/A,FALSE,"TAB6";"DOT",#N/A,FALSE,"TAB24APP";"EXTDEBT",#N/A,FALSE,"TAB25APP"}</definedName>
    <definedName name="as" localSheetId="11">{"TRADE_COMP",#N/A,FALSE,"TAB23APP";"BOP",#N/A,FALSE,"TAB6";"DOT",#N/A,FALSE,"TAB24APP";"EXTDEBT",#N/A,FALSE,"TAB25APP"}</definedName>
    <definedName name="as">{"TRADE_COMP",#N/A,FALSE,"TAB23APP";"BOP",#N/A,FALSE,"TAB6";"DOT",#N/A,FALSE,"TAB24APP";"EXTDEBT",#N/A,FALSE,"TAB25APP"}</definedName>
    <definedName name="asd" localSheetId="6">{"Riqfin97",#N/A,FALSE,"Tran";"Riqfinpro",#N/A,FALSE,"Tran"}</definedName>
    <definedName name="asd" localSheetId="11">{"Riqfin97",#N/A,FALSE,"Tran";"Riqfinpro",#N/A,FALSE,"Tran"}</definedName>
    <definedName name="asd">{"Riqfin97",#N/A,FALSE,"Tran";"Riqfinpro",#N/A,FALSE,"Tran"}</definedName>
    <definedName name="asdasd" localSheetId="6">{"Riqfin97",#N/A,FALSE,"Tran";"Riqfinpro",#N/A,FALSE,"Tran"}</definedName>
    <definedName name="asdasd" localSheetId="11">{"Riqfin97",#N/A,FALSE,"Tran";"Riqfinpro",#N/A,FALSE,"Tran"}</definedName>
    <definedName name="asdasd">{"Riqfin97",#N/A,FALSE,"Tran";"Riqfinpro",#N/A,FALSE,"Tran"}</definedName>
    <definedName name="asdasdad" localSheetId="6">{"Riqfin97",#N/A,FALSE,"Tran";"Riqfinpro",#N/A,FALSE,"Tran"}</definedName>
    <definedName name="asdasdad" localSheetId="11">{"Riqfin97",#N/A,FALSE,"Tran";"Riqfinpro",#N/A,FALSE,"Tran"}</definedName>
    <definedName name="asdasdad">{"Riqfin97",#N/A,FALSE,"Tran";"Riqfinpro",#N/A,FALSE,"Tran"}</definedName>
    <definedName name="asdasdadad" localSheetId="6">{"Riqfin97",#N/A,FALSE,"Tran";"Riqfinpro",#N/A,FALSE,"Tran"}</definedName>
    <definedName name="asdasdadad" localSheetId="11">{"Riqfin97",#N/A,FALSE,"Tran";"Riqfinpro",#N/A,FALSE,"Tran"}</definedName>
    <definedName name="asdasdadad">{"Riqfin97",#N/A,FALSE,"Tran";"Riqfinpro",#N/A,FALSE,"Tran"}</definedName>
    <definedName name="asdf" localSheetId="6">{"BOP_TAB",#N/A,FALSE,"N";"MIDTERM_TAB",#N/A,FALSE,"O"}</definedName>
    <definedName name="asdf" localSheetId="11">{"BOP_TAB",#N/A,FALSE,"N";"MIDTERM_TAB",#N/A,FALSE,"O"}</definedName>
    <definedName name="asdf">{"BOP_TAB",#N/A,FALSE,"N";"MIDTERM_TAB",#N/A,FALSE,"O"}</definedName>
    <definedName name="ase" localSheetId="6">{"Minpmon",#N/A,FALSE,"Monthinput"}</definedName>
    <definedName name="ase" localSheetId="11">{"Minpmon",#N/A,FALSE,"Monthinput"}</definedName>
    <definedName name="ase">{"Minpmon",#N/A,FALSE,"Monthinput"}</definedName>
    <definedName name="Asturias">#REF!</definedName>
    <definedName name="ASY" localSheetId="6" hidden="1">{"Dif tabajo",#N/A,FALSE,"C. mobiliario";"Difi mobiliario",#N/A,FALSE,"C. mobiliario"}</definedName>
    <definedName name="ASY" localSheetId="11" hidden="1">{"Dif tabajo",#N/A,FALSE,"C. mobiliario";"Difi mobiliario",#N/A,FALSE,"C. mobiliario"}</definedName>
    <definedName name="ASY" hidden="1">{"Dif tabajo",#N/A,FALSE,"C. mobiliario";"Difi mobiliario",#N/A,FALSE,"C. mobiliario"}</definedName>
    <definedName name="atrade">#REF!</definedName>
    <definedName name="autonomia">#REF!</definedName>
    <definedName name="B_ALCOHOL">OFFSET(#REF!,1,0,#REF!)</definedName>
    <definedName name="B_ALCOHOL_SA">OFFSET(#REF!,1,0,#REF!)</definedName>
    <definedName name="B_ARREND">OFFSET(#REF!,1,0,#REF!)</definedName>
    <definedName name="B_ARREND_SA">OFFSET(#REF!,1,0,#REF!)</definedName>
    <definedName name="B_CERVEZA">OFFSET(#REF!,1,0,#REF!)</definedName>
    <definedName name="B_CERVEZA_SA">OFFSET(#REF!,1,0,#REF!)</definedName>
    <definedName name="B_DIVID">OFFSET(#REF!,1,0,#REF!)</definedName>
    <definedName name="B_DIVID_SA">OFFSET(#REF!,1,0,#REF!)</definedName>
    <definedName name="B_ELECT_KWH">OFFSET(#REF!,1,0,#REF!)</definedName>
    <definedName name="B_ELECT_KWH_SA">OFFSET(#REF!,1,0,#REF!)</definedName>
    <definedName name="B_ELECT_TIPO">OFFSET(#REF!,1,0,#REF!)</definedName>
    <definedName name="B_ELECT_TIPO_SA">OFFSET(#REF!,1,0,#REF!)</definedName>
    <definedName name="B_GAN_PATR">OFFSET(#REF!,1,0,#REF!)</definedName>
    <definedName name="B_GAN_PATR_SA">OFFSET(#REF!,1,0,#REF!)</definedName>
    <definedName name="B_GASOL_BIOET">OFFSET(#REF!,1,0,#REF!)</definedName>
    <definedName name="B_GASOL_BIOET_SA">OFFSET(#REF!,1,0,#REF!)</definedName>
    <definedName name="B_GASOL_TIPORED">OFFSET(#REF!,1,0,#REF!)</definedName>
    <definedName name="B_GASOL_TIPORED_SA">OFFSET(#REF!,1,0,#REF!)</definedName>
    <definedName name="B_GASOLA_BIODIES">OFFSET(#REF!,1,0,#REF!)</definedName>
    <definedName name="B_GASOLA_BIODIES_SA" xml:space="preserve"> OFFSET(#REF!,1,0,#REF!)</definedName>
    <definedName name="B_GASOLIN_GASOLEO" xml:space="preserve"> OFFSET(#REF!,1,0,#REF!)</definedName>
    <definedName name="B_GASOLIN_GASOLEO_SA">OFFSET(#REF!,1,0,#REF!)</definedName>
    <definedName name="B_GBYSH">OFFSET(#REF!,1,0,#REF!)</definedName>
    <definedName name="B_GBYSH_SA">OFFSET(#REF!,1,0,#REF!)</definedName>
    <definedName name="B_GCORR_AAPP">OFFSET(#REF!,1,0,#REF!)</definedName>
    <definedName name="B_GCORR_AAPP_SA">OFFSET(#REF!,1,0,#REF!)</definedName>
    <definedName name="B_GK_AAPP">OFFSET(#REF!,1,0,#REF!)</definedName>
    <definedName name="B_GK_AAPP_SA">OFFSET(#REF!,1,0,#REF!)</definedName>
    <definedName name="B_GVIV_HOG" xml:space="preserve"> OFFSET(#REF!,1,0,#REF!)</definedName>
    <definedName name="B_GVIV_HOG_SA">OFFSET(#REF!,1,0,#REF!)</definedName>
    <definedName name="B_IBP">OFFSET(#REF!,1,0,#REF!)</definedName>
    <definedName name="B_IBP_SA">OFFSET(#REF!,1,0,#REF!)</definedName>
    <definedName name="B_INR">OFFSET(#REF!,1,0,#REF!)</definedName>
    <definedName name="B_INR_SA">OFFSET(#REF!,1,0,#REF!)</definedName>
    <definedName name="B_INTERESES">OFFSET(#REF!,1,0,#REF!)</definedName>
    <definedName name="B_INTERESES_SA">OFFSET(#REF!,1,0,#REF!)</definedName>
    <definedName name="B_PREST_U" xml:space="preserve"> OFFSET(#REF!,1,0,#REF!)</definedName>
    <definedName name="B_PREST_U_SA" xml:space="preserve"> OFFSET(#REF!,1,0,#REF!)</definedName>
    <definedName name="B_RTA_EMP">OFFSET(#REF!,1,0,#REF!)</definedName>
    <definedName name="B_RTA_EMP_SA">OFFSET(#REF!,1,0,#REF!)</definedName>
    <definedName name="B_SALPRIV">OFFSET(#REF!,1,0,#REF!)</definedName>
    <definedName name="B_SALPRIV_SA">OFFSET(#REF!,1,0,#REF!)</definedName>
    <definedName name="B_SALPUB">OFFSET(#REF!,1,0,#REF!)</definedName>
    <definedName name="B_SALPUB_SA" xml:space="preserve"> OFFSET(#REF!,1,0,#REF!)</definedName>
    <definedName name="B_TABACO_CAJ">OFFSET(#REF!,1,0,#REF!)</definedName>
    <definedName name="B_TABACO_CAJ_SA">OFFSET(#REF!,1,0,#REF!)</definedName>
    <definedName name="B_TABACO_RESTO">OFFSET(#REF!,1,0,#REF!)</definedName>
    <definedName name="B_TABACO_RESTO_SA">OFFSET(#REF!,1,0,#REF!)</definedName>
    <definedName name="BAREA">#REF!</definedName>
    <definedName name="base" localSheetId="6">#REF!</definedName>
    <definedName name="base" localSheetId="7">[5]BASEDAT!$A$1:$Q$10296</definedName>
    <definedName name="base" localSheetId="11">#REF!</definedName>
    <definedName name="base" localSheetId="12">[5]BASEDAT!$A$1:$Q$10296</definedName>
    <definedName name="base">#REF!</definedName>
    <definedName name="_xlnm.Database">#REF!</definedName>
    <definedName name="BasedeDatos2">#REF!</definedName>
    <definedName name="bb" localSheetId="6">{"Riqfin97",#N/A,FALSE,"Tran";"Riqfinpro",#N/A,FALSE,"Tran"}</definedName>
    <definedName name="bb" localSheetId="11">{"Riqfin97",#N/A,FALSE,"Tran";"Riqfinpro",#N/A,FALSE,"Tran"}</definedName>
    <definedName name="bb">{"Riqfin97",#N/A,FALSE,"Tran";"Riqfinpro",#N/A,FALSE,"Tran"}</definedName>
    <definedName name="bbbb" localSheetId="6">{"Minpmon",#N/A,FALSE,"Monthinput"}</definedName>
    <definedName name="bbbb" localSheetId="11">{"Minpmon",#N/A,FALSE,"Monthinput"}</definedName>
    <definedName name="bbbb">{"Minpmon",#N/A,FALSE,"Monthinput"}</definedName>
    <definedName name="bbbbb" localSheetId="6">{"Riqfin97",#N/A,FALSE,"Tran";"Riqfinpro",#N/A,FALSE,"Tran"}</definedName>
    <definedName name="bbbbb" localSheetId="11">{"Riqfin97",#N/A,FALSE,"Tran";"Riqfinpro",#N/A,FALSE,"Tran"}</definedName>
    <definedName name="bbbbb">{"Riqfin97",#N/A,FALSE,"Tran";"Riqfinpro",#N/A,FALSE,"Tran"}</definedName>
    <definedName name="BBCE">#REF!</definedName>
    <definedName name="BBdmx">#REF!</definedName>
    <definedName name="BBE">#REF!</definedName>
    <definedName name="bfftsy">#REF!</definedName>
    <definedName name="BFLD_DF">#N/A</definedName>
    <definedName name="BFLD_DF2">#N/A</definedName>
    <definedName name="bfsdhtr">#REF!</definedName>
    <definedName name="bg" localSheetId="6">{"Tab1",#N/A,FALSE,"P";"Tab2",#N/A,FALSE,"P"}</definedName>
    <definedName name="bg" localSheetId="11">{"Tab1",#N/A,FALSE,"P";"Tab2",#N/A,FALSE,"P"}</definedName>
    <definedName name="bg">{"Tab1",#N/A,FALSE,"P";"Tab2",#N/A,FALSE,"P"}</definedName>
    <definedName name="BLPH1">#REF!</definedName>
    <definedName name="BLPH10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0">#REF!</definedName>
    <definedName name="BLPH111">#REF!</definedName>
    <definedName name="BLPH112">#REF!</definedName>
    <definedName name="BLPH113">#REF!</definedName>
    <definedName name="BLPH114">#REF!</definedName>
    <definedName name="BLPH115">#REF!</definedName>
    <definedName name="BLPH116">#REF!</definedName>
    <definedName name="BLPH117">#REF!</definedName>
    <definedName name="BLPH118">#REF!</definedName>
    <definedName name="BLPH119">#REF!</definedName>
    <definedName name="BLPH12">#REF!</definedName>
    <definedName name="BLPH120">#REF!</definedName>
    <definedName name="BLPH121">#REF!</definedName>
    <definedName name="BLPH122">#REF!</definedName>
    <definedName name="BLPH123">#REF!</definedName>
    <definedName name="BLPH124">#REF!</definedName>
    <definedName name="BLPH125">#REF!</definedName>
    <definedName name="BLPH126">#REF!</definedName>
    <definedName name="BLPH127">#REF!</definedName>
    <definedName name="BLPH128">#REF!</definedName>
    <definedName name="BLPH129">#REF!</definedName>
    <definedName name="BLPH13">#REF!</definedName>
    <definedName name="BLPH130">#REF!</definedName>
    <definedName name="BLPH131">#REF!</definedName>
    <definedName name="BLPH132">#REF!</definedName>
    <definedName name="BLPH133">#REF!</definedName>
    <definedName name="BLPH134">#REF!</definedName>
    <definedName name="BLPH135">#REF!</definedName>
    <definedName name="BLPH136">#REF!</definedName>
    <definedName name="BLPH137">#REF!</definedName>
    <definedName name="BLPH138">#REF!</definedName>
    <definedName name="BLPH139">#REF!</definedName>
    <definedName name="BLPH14">#REF!</definedName>
    <definedName name="BLPH140">#REF!</definedName>
    <definedName name="BLPH141">#REF!</definedName>
    <definedName name="BLPH142">#REF!</definedName>
    <definedName name="BLPH143">#REF!</definedName>
    <definedName name="BLPH144">#REF!</definedName>
    <definedName name="BLPH145">#REF!</definedName>
    <definedName name="BLPH146">#REF!</definedName>
    <definedName name="BLPH147">#REF!</definedName>
    <definedName name="BLPH148">#REF!</definedName>
    <definedName name="BLPH149">#REF!</definedName>
    <definedName name="BLPH15">#REF!</definedName>
    <definedName name="BLPH150">#REF!</definedName>
    <definedName name="BLPH151">#REF!</definedName>
    <definedName name="BLPH152">#REF!</definedName>
    <definedName name="BLPH153">#REF!</definedName>
    <definedName name="BLPH154">#REF!</definedName>
    <definedName name="BLPH155">#REF!</definedName>
    <definedName name="BLPH156">#REF!</definedName>
    <definedName name="BLPH157">#REF!</definedName>
    <definedName name="BLPH158">#REF!</definedName>
    <definedName name="BLPH159">#REF!</definedName>
    <definedName name="BLPH16">#REF!</definedName>
    <definedName name="BLPH160">#REF!</definedName>
    <definedName name="BLPH161">#REF!</definedName>
    <definedName name="BLPH162">#REF!</definedName>
    <definedName name="BLPH163">#REF!</definedName>
    <definedName name="BLPH164">#REF!</definedName>
    <definedName name="BLPH165">#REF!</definedName>
    <definedName name="BLPH166">#REF!</definedName>
    <definedName name="BLPH167">#REF!</definedName>
    <definedName name="BLPH168">#REF!</definedName>
    <definedName name="BLPH169">#REF!</definedName>
    <definedName name="BLPH17">#REF!</definedName>
    <definedName name="BLPH170">#REF!</definedName>
    <definedName name="BLPH171">#REF!</definedName>
    <definedName name="BLPH172">#REF!</definedName>
    <definedName name="BLPH173">#REF!</definedName>
    <definedName name="BLPH174">#REF!</definedName>
    <definedName name="BLPH175">#REF!</definedName>
    <definedName name="BLPH176">#REF!</definedName>
    <definedName name="BLPH177">#REF!</definedName>
    <definedName name="BLPH18">#REF!</definedName>
    <definedName name="BLPH19">#REF!</definedName>
    <definedName name="BLPH2">#REF!</definedName>
    <definedName name="BLPH20">#REF!</definedName>
    <definedName name="BLPH20023">#REF!</definedName>
    <definedName name="BLPH21">#REF!</definedName>
    <definedName name="BLPH22">#REF!</definedName>
    <definedName name="BLPH23">#REF!</definedName>
    <definedName name="BLPH24">#REF!</definedName>
    <definedName name="BLPH25">#REF!</definedName>
    <definedName name="BLPH26">#REF!</definedName>
    <definedName name="BLPH27">#REF!</definedName>
    <definedName name="BLPH28">#REF!</definedName>
    <definedName name="BLPH29">#REF!</definedName>
    <definedName name="BLPH3">#REF!</definedName>
    <definedName name="BLPH30">#REF!</definedName>
    <definedName name="BLPH31">#REF!</definedName>
    <definedName name="BLPH32">#REF!</definedName>
    <definedName name="BLPH33">#REF!</definedName>
    <definedName name="BLPH34">#REF!</definedName>
    <definedName name="BLPH35">#REF!</definedName>
    <definedName name="BLPH36">#REF!</definedName>
    <definedName name="BLPH37">#REF!</definedName>
    <definedName name="BLPH38">#REF!</definedName>
    <definedName name="BLPH39">#REF!</definedName>
    <definedName name="BLPH4">#REF!</definedName>
    <definedName name="BLPH40">#REF!</definedName>
    <definedName name="BLPH40000004" hidden="1">#REF!</definedName>
    <definedName name="BLPH40000007" hidden="1">#REF!</definedName>
    <definedName name="BLPH40000008" hidden="1">#REF!</definedName>
    <definedName name="BLPH40000009" hidden="1">#REF!</definedName>
    <definedName name="BLPH4000002">#REF!</definedName>
    <definedName name="BLPH40000026" hidden="1">#REF!</definedName>
    <definedName name="BLPH40000027" hidden="1">#REF!</definedName>
    <definedName name="BLPH40000028" hidden="1">#REF!</definedName>
    <definedName name="BLPH4000003">#REF!</definedName>
    <definedName name="BLPH40000036" hidden="1">#REF!</definedName>
    <definedName name="BLPH4000004">#REF!</definedName>
    <definedName name="BLPH4000005">#REF!</definedName>
    <definedName name="BLPH40000050" hidden="1">#REF!</definedName>
    <definedName name="BLPH40000058" hidden="1">#REF!</definedName>
    <definedName name="BLPH40000059" hidden="1">#REF!</definedName>
    <definedName name="BLPH4000006">#REF!</definedName>
    <definedName name="BLPH40000060" hidden="1">#REF!</definedName>
    <definedName name="BLPH40000061" hidden="1">#REF!</definedName>
    <definedName name="BLPH40000062" hidden="1">#REF!</definedName>
    <definedName name="BLPH40000063" hidden="1">#REF!</definedName>
    <definedName name="BLPH40000064" hidden="1">#REF!</definedName>
    <definedName name="BLPH40000065" hidden="1">#REF!</definedName>
    <definedName name="BLPH40000066" hidden="1">#REF!</definedName>
    <definedName name="BLPH40000067" hidden="1">#REF!</definedName>
    <definedName name="BLPH40000068" hidden="1">#REF!</definedName>
    <definedName name="BLPH40000069" hidden="1">#REF!</definedName>
    <definedName name="BLPH4000007">#REF!</definedName>
    <definedName name="BLPH40000070" hidden="1">#REF!</definedName>
    <definedName name="BLPH40000071" hidden="1">#REF!</definedName>
    <definedName name="BLPH40000073" hidden="1">#REF!</definedName>
    <definedName name="BLPH40000074" hidden="1">#REF!</definedName>
    <definedName name="BLPH40000075" hidden="1">#REF!</definedName>
    <definedName name="BLPH4000008">#REF!</definedName>
    <definedName name="BLPH4000009">#REF!</definedName>
    <definedName name="BLPH4000011">#REF!</definedName>
    <definedName name="BLPH4000012">#REF!</definedName>
    <definedName name="BLPH4000014">#REF!</definedName>
    <definedName name="BLPH4000015">#REF!</definedName>
    <definedName name="BLPH41">#REF!</definedName>
    <definedName name="BLPH42">#REF!</definedName>
    <definedName name="BLPH43">#REF!</definedName>
    <definedName name="BLPH44">#REF!</definedName>
    <definedName name="BLPH45">#REF!</definedName>
    <definedName name="BLPH46">#REF!</definedName>
    <definedName name="BLPH47">#REF!</definedName>
    <definedName name="BLPH48" hidden="1">#REF!</definedName>
    <definedName name="BLPH49" hidden="1">#REF!</definedName>
    <definedName name="BLPH5">#REF!</definedName>
    <definedName name="BLPH50" hidden="1">#REF!</definedName>
    <definedName name="BLPH51" hidden="1">#REF!</definedName>
    <definedName name="BLPH56">#REF!</definedName>
    <definedName name="BLPH57">#REF!</definedName>
    <definedName name="BLPH58">#REF!</definedName>
    <definedName name="BLPH6">#REF!</definedName>
    <definedName name="BLPH7">#REF!</definedName>
    <definedName name="BLPH78">#REF!</definedName>
    <definedName name="BLPH8">#REF!</definedName>
    <definedName name="BLPH86">#REF!</definedName>
    <definedName name="BLPH87">#REF!</definedName>
    <definedName name="BLPH88">#REF!</definedName>
    <definedName name="BLPH89">#REF!</definedName>
    <definedName name="BLPH9">#REF!</definedName>
    <definedName name="BLPH90">#REF!</definedName>
    <definedName name="BLPH9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LPR1020040129204514642" hidden="1">#REF!</definedName>
    <definedName name="BLPR1020040129204514642_1_5" hidden="1">#REF!</definedName>
    <definedName name="BLPR1020040129204514642_2_5" hidden="1">#REF!</definedName>
    <definedName name="BLPR1020040129204514642_3_5" hidden="1">#REF!</definedName>
    <definedName name="BLPR1020040129204514642_4_5" hidden="1">#REF!</definedName>
    <definedName name="BLPR1020040129204514642_5_5" hidden="1">#REF!</definedName>
    <definedName name="BLPR1120040129204514642" hidden="1">#REF!</definedName>
    <definedName name="BLPR1120040129204514642_1_5" hidden="1">#REF!</definedName>
    <definedName name="BLPR1120040129204514642_2_5" hidden="1">#REF!</definedName>
    <definedName name="BLPR1120040129204514642_3_5" hidden="1">#REF!</definedName>
    <definedName name="BLPR1120040129204514642_4_5" hidden="1">#REF!</definedName>
    <definedName name="BLPR1120040129204514642_5_5" hidden="1">#REF!</definedName>
    <definedName name="BLPR120040129203645421" hidden="1">#REF!</definedName>
    <definedName name="BLPR120040129203645421_1_4" hidden="1">#REF!</definedName>
    <definedName name="BLPR120040129203645421_2_4" hidden="1">#REF!</definedName>
    <definedName name="BLPR120040129203645421_3_4" hidden="1">#REF!</definedName>
    <definedName name="BLPR120040129203645421_4_4" hidden="1">#REF!</definedName>
    <definedName name="BLPR1220040129204514642" hidden="1">#REF!</definedName>
    <definedName name="BLPR1220040129204514642_1_5" hidden="1">#REF!</definedName>
    <definedName name="BLPR1220040129204514642_2_5" hidden="1">#REF!</definedName>
    <definedName name="BLPR1220040129204514642_3_5" hidden="1">#REF!</definedName>
    <definedName name="BLPR1220040129204514642_4_5" hidden="1">#REF!</definedName>
    <definedName name="BLPR1220040129204514642_5_5" hidden="1">#REF!</definedName>
    <definedName name="BLPR1320040129204514642" hidden="1">#REF!</definedName>
    <definedName name="BLPR1320040129204514642_1_5" hidden="1">#REF!</definedName>
    <definedName name="BLPR1320040129204514642_2_5" hidden="1">#REF!</definedName>
    <definedName name="BLPR1320040129204514642_3_5" hidden="1">#REF!</definedName>
    <definedName name="BLPR1320040129204514642_4_5" hidden="1">#REF!</definedName>
    <definedName name="BLPR1320040129204514642_5_5" hidden="1">#REF!</definedName>
    <definedName name="BLPR1420040129204514642" hidden="1">#REF!</definedName>
    <definedName name="BLPR1420040129204514642_1_5" hidden="1">#REF!</definedName>
    <definedName name="BLPR1420040129204514642_2_5" hidden="1">#REF!</definedName>
    <definedName name="BLPR1420040129204514642_3_5" hidden="1">#REF!</definedName>
    <definedName name="BLPR1420040129204514642_4_5" hidden="1">#REF!</definedName>
    <definedName name="BLPR1420040129204514642_5_5" hidden="1">#REF!</definedName>
    <definedName name="BLPR1520040129204514652" hidden="1">#REF!</definedName>
    <definedName name="BLPR1520040129204514652_1_5" hidden="1">#REF!</definedName>
    <definedName name="BLPR1520040129204514652_2_5" hidden="1">#REF!</definedName>
    <definedName name="BLPR1520040129204514652_3_5" hidden="1">#REF!</definedName>
    <definedName name="BLPR1520040129204514652_4_5" hidden="1">#REF!</definedName>
    <definedName name="BLPR1520040129204514652_5_5" hidden="1">#REF!</definedName>
    <definedName name="BLPR1620040129204514652" hidden="1">#REF!</definedName>
    <definedName name="BLPR1620040129204514652_1_5" hidden="1">#REF!</definedName>
    <definedName name="BLPR1620040129204514652_2_5" hidden="1">#REF!</definedName>
    <definedName name="BLPR1620040129204514652_3_5" hidden="1">#REF!</definedName>
    <definedName name="BLPR1620040129204514652_4_5" hidden="1">#REF!</definedName>
    <definedName name="BLPR1620040129204514652_5_5" hidden="1">#REF!</definedName>
    <definedName name="BLPR1720040129204514652" hidden="1">#REF!</definedName>
    <definedName name="BLPR1720040129204514652_1_5" hidden="1">#REF!</definedName>
    <definedName name="BLPR1720040129204514652_2_5" hidden="1">#REF!</definedName>
    <definedName name="BLPR1720040129204514652_3_5" hidden="1">#REF!</definedName>
    <definedName name="BLPR1720040129204514652_4_5" hidden="1">#REF!</definedName>
    <definedName name="BLPR1720040129204514652_5_5" hidden="1">#REF!</definedName>
    <definedName name="BLPR1820040129204514652" hidden="1">#REF!</definedName>
    <definedName name="BLPR1820040129204514652_1_5" hidden="1">#REF!</definedName>
    <definedName name="BLPR1820040129204514652_2_5" hidden="1">#REF!</definedName>
    <definedName name="BLPR1820040129204514652_3_5" hidden="1">#REF!</definedName>
    <definedName name="BLPR1820040129204514652_4_5" hidden="1">#REF!</definedName>
    <definedName name="BLPR1820040129204514652_5_5" hidden="1">#REF!</definedName>
    <definedName name="BLPR1920040129204514652" hidden="1">#REF!</definedName>
    <definedName name="BLPR1920040129204514652_1_5" hidden="1">#REF!</definedName>
    <definedName name="BLPR1920040129204514652_2_5" hidden="1">#REF!</definedName>
    <definedName name="BLPR1920040129204514652_3_5" hidden="1">#REF!</definedName>
    <definedName name="BLPR1920040129204514652_4_5" hidden="1">#REF!</definedName>
    <definedName name="BLPR1920040129204514652_5_5" hidden="1">#REF!</definedName>
    <definedName name="BLPR2020040129204514652" hidden="1">#REF!</definedName>
    <definedName name="BLPR2020040129204514652_1_5" hidden="1">#REF!</definedName>
    <definedName name="BLPR2020040129204514652_2_5" hidden="1">#REF!</definedName>
    <definedName name="BLPR2020040129204514652_3_5" hidden="1">#REF!</definedName>
    <definedName name="BLPR2020040129204514652_4_5" hidden="1">#REF!</definedName>
    <definedName name="BLPR2020040129204514652_5_5" hidden="1">#REF!</definedName>
    <definedName name="BLPR2120040129204514652" hidden="1">#REF!</definedName>
    <definedName name="BLPR2120040129204514652_1_5" hidden="1">#REF!</definedName>
    <definedName name="BLPR2120040129204514652_2_5" hidden="1">#REF!</definedName>
    <definedName name="BLPR2120040129204514652_3_5" hidden="1">#REF!</definedName>
    <definedName name="BLPR2120040129204514652_4_5" hidden="1">#REF!</definedName>
    <definedName name="BLPR2120040129204514652_5_5" hidden="1">#REF!</definedName>
    <definedName name="BLPR220040129203645421" hidden="1">#REF!</definedName>
    <definedName name="BLPR220040129203645421_1_4" hidden="1">#REF!</definedName>
    <definedName name="BLPR220040129203645421_2_4" hidden="1">#REF!</definedName>
    <definedName name="BLPR220040129203645421_3_4" hidden="1">#REF!</definedName>
    <definedName name="BLPR220040129203645421_4_4" hidden="1">#REF!</definedName>
    <definedName name="BLPR2220040129204514652" hidden="1">#REF!</definedName>
    <definedName name="BLPR2220040129204514652_1_5" hidden="1">#REF!</definedName>
    <definedName name="BLPR2220040129204514652_2_5" hidden="1">#REF!</definedName>
    <definedName name="BLPR2220040129204514652_3_5" hidden="1">#REF!</definedName>
    <definedName name="BLPR2220040129204514652_4_5" hidden="1">#REF!</definedName>
    <definedName name="BLPR2220040129204514652_5_5" hidden="1">#REF!</definedName>
    <definedName name="BLPR2320040129204514662" hidden="1">#REF!</definedName>
    <definedName name="BLPR2320040129204514662_1_5" hidden="1">#REF!</definedName>
    <definedName name="BLPR2320040129204514662_2_5" hidden="1">#REF!</definedName>
    <definedName name="BLPR2320040129204514662_3_5" hidden="1">#REF!</definedName>
    <definedName name="BLPR2320040129204514662_4_5" hidden="1">#REF!</definedName>
    <definedName name="BLPR2320040129204514662_5_5" hidden="1">#REF!</definedName>
    <definedName name="BLPR2420040129204514662" hidden="1">#REF!</definedName>
    <definedName name="BLPR2420040129204514662_1_5" hidden="1">#REF!</definedName>
    <definedName name="BLPR2420040129204514662_2_5" hidden="1">#REF!</definedName>
    <definedName name="BLPR2420040129204514662_3_5" hidden="1">#REF!</definedName>
    <definedName name="BLPR2420040129204514662_4_5" hidden="1">#REF!</definedName>
    <definedName name="BLPR2420040129204514662_5_5" hidden="1">#REF!</definedName>
    <definedName name="BLPR2520040129204514662" hidden="1">#REF!</definedName>
    <definedName name="BLPR2520040129204514662_1_5" hidden="1">#REF!</definedName>
    <definedName name="BLPR2520040129204514662_2_5" hidden="1">#REF!</definedName>
    <definedName name="BLPR2520040129204514662_3_5" hidden="1">#REF!</definedName>
    <definedName name="BLPR2520040129204514662_4_5" hidden="1">#REF!</definedName>
    <definedName name="BLPR2520040129204514662_5_5" hidden="1">#REF!</definedName>
    <definedName name="BLPR2620040129204514662" hidden="1">#REF!</definedName>
    <definedName name="BLPR2620040129204514662_1_5" hidden="1">#REF!</definedName>
    <definedName name="BLPR2620040129204514662_2_5" hidden="1">#REF!</definedName>
    <definedName name="BLPR2620040129204514662_3_5" hidden="1">#REF!</definedName>
    <definedName name="BLPR2620040129204514662_4_5" hidden="1">#REF!</definedName>
    <definedName name="BLPR2620040129204514662_5_5" hidden="1">#REF!</definedName>
    <definedName name="BLPR2720040129204514662" hidden="1">#REF!</definedName>
    <definedName name="BLPR2720040129204514662_1_5" hidden="1">#REF!</definedName>
    <definedName name="BLPR2720040129204514662_2_5" hidden="1">#REF!</definedName>
    <definedName name="BLPR2720040129204514662_3_5" hidden="1">#REF!</definedName>
    <definedName name="BLPR2720040129204514662_4_5" hidden="1">#REF!</definedName>
    <definedName name="BLPR2720040129204514662_5_5" hidden="1">#REF!</definedName>
    <definedName name="BLPR2820040129204514662" hidden="1">#REF!</definedName>
    <definedName name="BLPR2820040129204514662_1_5" hidden="1">#REF!</definedName>
    <definedName name="BLPR2820040129204514662_2_5" hidden="1">#REF!</definedName>
    <definedName name="BLPR2820040129204514662_3_5" hidden="1">#REF!</definedName>
    <definedName name="BLPR2820040129204514662_4_5" hidden="1">#REF!</definedName>
    <definedName name="BLPR2820040129204514662_5_5" hidden="1">#REF!</definedName>
    <definedName name="BLPR2920040129204514662" hidden="1">#REF!</definedName>
    <definedName name="BLPR2920040129204514662_1_5" hidden="1">#REF!</definedName>
    <definedName name="BLPR2920040129204514662_2_5" hidden="1">#REF!</definedName>
    <definedName name="BLPR2920040129204514662_3_5" hidden="1">#REF!</definedName>
    <definedName name="BLPR2920040129204514662_4_5" hidden="1">#REF!</definedName>
    <definedName name="BLPR2920040129204514662_5_5" hidden="1">#REF!</definedName>
    <definedName name="BLPR3020040129204514672" hidden="1">#REF!</definedName>
    <definedName name="BLPR3020040129204514672_1_5" hidden="1">#REF!</definedName>
    <definedName name="BLPR3020040129204514672_2_5" hidden="1">#REF!</definedName>
    <definedName name="BLPR3020040129204514672_3_5" hidden="1">#REF!</definedName>
    <definedName name="BLPR3020040129204514672_4_5" hidden="1">#REF!</definedName>
    <definedName name="BLPR3020040129204514672_5_5" hidden="1">#REF!</definedName>
    <definedName name="BLPR3120040129204514692" hidden="1">#REF!</definedName>
    <definedName name="BLPR3120040129204514692_1_1" hidden="1">#REF!</definedName>
    <definedName name="BLPR320040129203645431" hidden="1">#REF!</definedName>
    <definedName name="BLPR320040129203645431_1_4" hidden="1">#REF!</definedName>
    <definedName name="BLPR320040129203645431_2_4" hidden="1">#REF!</definedName>
    <definedName name="BLPR320040129203645431_3_4" hidden="1">#REF!</definedName>
    <definedName name="BLPR320040129203645431_4_4" hidden="1">#REF!</definedName>
    <definedName name="BLPR3220040129204514692" hidden="1">#REF!</definedName>
    <definedName name="BLPR3220040129204514692_1_1" hidden="1">#REF!</definedName>
    <definedName name="BLPR3320040129204514702" hidden="1">#REF!</definedName>
    <definedName name="BLPR3320040129204514702_1_1" hidden="1">#REF!</definedName>
    <definedName name="BLPR3420040129204514702" hidden="1">#REF!</definedName>
    <definedName name="BLPR3420040129204514702_1_1" hidden="1">#REF!</definedName>
    <definedName name="BLPR3520040129204514702" hidden="1">#REF!</definedName>
    <definedName name="BLPR3520040129204514702_1_1" hidden="1">#REF!</definedName>
    <definedName name="BLPR420040129203645431" hidden="1">#REF!</definedName>
    <definedName name="BLPR420040129203645431_1_4" hidden="1">#REF!</definedName>
    <definedName name="BLPR420040129203645431_2_4" hidden="1">#REF!</definedName>
    <definedName name="BLPR420040129203645431_3_4" hidden="1">#REF!</definedName>
    <definedName name="BLPR420040129203645431_4_4" hidden="1">#REF!</definedName>
    <definedName name="BLPR520040129203645441" hidden="1">#REF!</definedName>
    <definedName name="BLPR520040129203645441_1_4" hidden="1">#REF!</definedName>
    <definedName name="BLPR520040129203645441_2_4" hidden="1">#REF!</definedName>
    <definedName name="BLPR520040129203645441_3_4" hidden="1">#REF!</definedName>
    <definedName name="BLPR520040129203645441_4_4" hidden="1">#REF!</definedName>
    <definedName name="BLPR620040129204149993" hidden="1">#REF!</definedName>
    <definedName name="BLPR620040129204149993_1_5" hidden="1">#REF!</definedName>
    <definedName name="BLPR620040129204149993_2_5" hidden="1">#REF!</definedName>
    <definedName name="BLPR620040129204149993_3_5" hidden="1">#REF!</definedName>
    <definedName name="BLPR620040129204149993_4_5" hidden="1">#REF!</definedName>
    <definedName name="BLPR620040129204149993_5_5" hidden="1">#REF!</definedName>
    <definedName name="BLPR720040129204514631" hidden="1">#REF!</definedName>
    <definedName name="BLPR720040129204514631_1_5" hidden="1">#REF!</definedName>
    <definedName name="BLPR720040129204514631_2_5" hidden="1">#REF!</definedName>
    <definedName name="BLPR720040129204514631_3_5" hidden="1">#REF!</definedName>
    <definedName name="BLPR720040129204514631_4_5" hidden="1">#REF!</definedName>
    <definedName name="BLPR720040129204514631_5_5" hidden="1">#REF!</definedName>
    <definedName name="BLPR820040129204514642" hidden="1">#REF!</definedName>
    <definedName name="BLPR820040129204514642_1_5" hidden="1">#REF!</definedName>
    <definedName name="BLPR820040129204514642_2_5" hidden="1">#REF!</definedName>
    <definedName name="BLPR820040129204514642_3_5" hidden="1">#REF!</definedName>
    <definedName name="BLPR820040129204514642_4_5" hidden="1">#REF!</definedName>
    <definedName name="BLPR820040129204514642_5_5" hidden="1">#REF!</definedName>
    <definedName name="BLPR920040129204514642" hidden="1">#REF!</definedName>
    <definedName name="BLPR920040129204514642_1_5" hidden="1">#REF!</definedName>
    <definedName name="BLPR920040129204514642_2_5" hidden="1">#REF!</definedName>
    <definedName name="BLPR920040129204514642_3_5" hidden="1">#REF!</definedName>
    <definedName name="BLPR920040129204514642_4_5" hidden="1">#REF!</definedName>
    <definedName name="BLPR920040129204514642_5_5" hidden="1">#REF!</definedName>
    <definedName name="bmonet" localSheetId="7">[4]CONTROL!$L$6:$N$10</definedName>
    <definedName name="bmonet" localSheetId="11">#REF!</definedName>
    <definedName name="bmonet" localSheetId="12">[4]CONTROL!$L$6:$N$10</definedName>
    <definedName name="bmonet">#REF!</definedName>
    <definedName name="board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oleansC">#REF!</definedName>
    <definedName name="booleansW" localSheetId="5">#REF!</definedName>
    <definedName name="booleansW" localSheetId="6">#REF!</definedName>
    <definedName name="booleansW" localSheetId="11">#REF!</definedName>
    <definedName name="booleansW">#REF!</definedName>
    <definedName name="BORR">#REF!</definedName>
    <definedName name="BORRA_CUADROS">#REF!</definedName>
    <definedName name="Borrame" hidden="1">#REF!</definedName>
    <definedName name="b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rf" localSheetId="6">{"Tab1",#N/A,FALSE,"P";"Tab2",#N/A,FALSE,"P"}</definedName>
    <definedName name="brf" localSheetId="11">{"Tab1",#N/A,FALSE,"P";"Tab2",#N/A,FALSE,"P"}</definedName>
    <definedName name="brf">{"Tab1",#N/A,FALSE,"P";"Tab2",#N/A,FALSE,"P"}</definedName>
    <definedName name="BTRIN" localSheetId="7">[4]CONTROL!$L$1:$N$4</definedName>
    <definedName name="BTRIN" localSheetId="11">#REF!</definedName>
    <definedName name="BTRIN" localSheetId="12">[4]CONTROL!$L$1:$N$4</definedName>
    <definedName name="BTRIN">#REF!</definedName>
    <definedName name="bv" localSheetId="6">{"Main Economic Indicators",#N/A,FALSE,"C"}</definedName>
    <definedName name="bv" localSheetId="11">{"Main Economic Indicators",#N/A,FALSE,"C"}</definedName>
    <definedName name="bv">{"Main Economic Indicators",#N/A,FALSE,"C"}</definedName>
    <definedName name="caj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pitalized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ítulo__Ingresos">#REF!</definedName>
    <definedName name="CBE">#REF!</definedName>
    <definedName name="CBWorkbookPriority" hidden="1">-944898989</definedName>
    <definedName name="cc" localSheetId="6">{"Riqfin97",#N/A,FALSE,"Tran";"Riqfinpro",#N/A,FALSE,"Tran"}</definedName>
    <definedName name="cc" localSheetId="11">{"Riqfin97",#N/A,FALSE,"Tran";"Riqfinpro",#N/A,FALSE,"Tran"}</definedName>
    <definedName name="cc">{"Riqfin97",#N/A,FALSE,"Tran";"Riqfinpro",#N/A,FALSE,"Tran"}</definedName>
    <definedName name="CCAA">#REF!</definedName>
    <definedName name="CCAA1">#REF!</definedName>
    <definedName name="ccc" localSheetId="6">{"Riqfin97",#N/A,FALSE,"Tran";"Riqfinpro",#N/A,FALSE,"Tran"}</definedName>
    <definedName name="ccc" localSheetId="11">{"Riqfin97",#N/A,FALSE,"Tran";"Riqfinpro",#N/A,FALSE,"Tran"}</definedName>
    <definedName name="ccc">{"Riqfin97",#N/A,FALSE,"Tran";"Riqfinpro",#N/A,FALSE,"Tran"}</definedName>
    <definedName name="ccccc" localSheetId="6">{"Minpmon",#N/A,FALSE,"Monthinput"}</definedName>
    <definedName name="ccccc" localSheetId="11">{"Minpmon",#N/A,FALSE,"Monthinput"}</definedName>
    <definedName name="ccccc">{"Minpmon",#N/A,FALSE,"Monthinput"}</definedName>
    <definedName name="cccm" localSheetId="6">{"Riqfin97",#N/A,FALSE,"Tran";"Riqfinpro",#N/A,FALSE,"Tran"}</definedName>
    <definedName name="cccm" localSheetId="11">{"Riqfin97",#N/A,FALSE,"Tran";"Riqfinpro",#N/A,FALSE,"Tran"}</definedName>
    <definedName name="cccm">{"Riqfin97",#N/A,FALSE,"Tran";"Riqfinpro",#N/A,FALSE,"Tran"}</definedName>
    <definedName name="CDBrutaI">#REF!</definedName>
    <definedName name="CDBrutaIS">#REF!</definedName>
    <definedName name="cde" localSheetId="6">{"Riqfin97",#N/A,FALSE,"Tran";"Riqfinpro",#N/A,FALSE,"Tran"}</definedName>
    <definedName name="cde" localSheetId="11">{"Riqfin97",#N/A,FALSE,"Tran";"Riqfinpro",#N/A,FALSE,"Tran"}</definedName>
    <definedName name="cde">{"Riqfin97",#N/A,FALSE,"Tran";"Riqfinpro",#N/A,FALSE,"Tran"}</definedName>
    <definedName name="cdert" localSheetId="6">{"Minpmon",#N/A,FALSE,"Monthinput"}</definedName>
    <definedName name="cdert" localSheetId="11">{"Minpmon",#N/A,FALSE,"Monthinput"}</definedName>
    <definedName name="cdert">{"Minpmon",#N/A,FALSE,"Monthinput"}</definedName>
    <definedName name="CE">#REF!</definedName>
    <definedName name="Central">#REF!</definedName>
    <definedName name="char20" hidden="1">#REF!</definedName>
    <definedName name="Chart_1_ES">#REF!</definedName>
    <definedName name="chart19" hidden="1">#REF!</definedName>
    <definedName name="chart27" hidden="1">0</definedName>
    <definedName name="chart28" hidden="1">0</definedName>
    <definedName name="chart35" hidden="1">#REF!</definedName>
    <definedName name="chart9" hidden="1">#REF!</definedName>
    <definedName name="Chartsik" hidden="1">#REF!</definedName>
    <definedName name="Clock" localSheetId="6" hidden="1">{#N/A,#N/A,FALSE,"Exhibits 5-7"}</definedName>
    <definedName name="Clock" localSheetId="11" hidden="1">{#N/A,#N/A,FALSE,"Exhibits 5-7"}</definedName>
    <definedName name="Clock" hidden="1">{#N/A,#N/A,FALSE,"Exhibits 5-7"}</definedName>
    <definedName name="cls0">#REF!</definedName>
    <definedName name="clsValues">#REF!</definedName>
    <definedName name="Colombia___Summary_Accounts_of_the_Financial_System" localSheetId="6">#REF!-flow</definedName>
    <definedName name="Colombia___Summary_Accounts_of_the_Financial_System" localSheetId="11">#REF!-flow</definedName>
    <definedName name="Colombia___Summary_Accounts_of_the_Financial_System" localSheetId="15">#REF!-flow</definedName>
    <definedName name="Colombia___Summary_Accounts_of_the_Financial_System">#REF!-flow</definedName>
    <definedName name="Contents">#REF!:#REF!</definedName>
    <definedName name="contents2">#REF!</definedName>
    <definedName name="COPAGO">#REF!</definedName>
    <definedName name="copiar">#REF!</definedName>
    <definedName name="copiar2">#REF!</definedName>
    <definedName name="CountryCode">#REF!</definedName>
    <definedName name="cp">#REF!</definedName>
    <definedName name="CRI11A94" localSheetId="7">[4]CONTROL!$I$32:$O$33</definedName>
    <definedName name="CRI11A94" localSheetId="11">#REF!</definedName>
    <definedName name="CRI11A94" localSheetId="12">[4]CONTROL!$I$32:$O$33</definedName>
    <definedName name="CRI11A94">#REF!</definedName>
    <definedName name="CRI11A95" localSheetId="7">[4]CONTROL!$I$43:$O$44</definedName>
    <definedName name="CRI11A95" localSheetId="11">#REF!</definedName>
    <definedName name="CRI11A95" localSheetId="12">[4]CONTROL!$I$43:$O$44</definedName>
    <definedName name="CRI11A95">#REF!</definedName>
    <definedName name="CRI11A96" localSheetId="7">[4]CONTROL!$I$53:$O$54</definedName>
    <definedName name="CRI11A96" localSheetId="11">#REF!</definedName>
    <definedName name="CRI11A96" localSheetId="12">[4]CONTROL!$I$53:$O$54</definedName>
    <definedName name="CRI11A96">#REF!</definedName>
    <definedName name="CRI11A97" localSheetId="7">[4]CONTROL!$I$211:$O$212</definedName>
    <definedName name="CRI11A97" localSheetId="11">#REF!</definedName>
    <definedName name="CRI11A97" localSheetId="12">[4]CONTROL!$I$211:$O$212</definedName>
    <definedName name="CRI11A97">#REF!</definedName>
    <definedName name="CRI11A98" localSheetId="7">[4]CONTROL!$I$265:$O$266</definedName>
    <definedName name="CRI11A98" localSheetId="11">#REF!</definedName>
    <definedName name="CRI11A98" localSheetId="12">[4]CONTROL!$I$265:$O$266</definedName>
    <definedName name="CRI11A98">#REF!</definedName>
    <definedName name="CRI11B94" localSheetId="7">[4]CONTROL!$I$35:$O$36</definedName>
    <definedName name="CRI11B94" localSheetId="11">#REF!</definedName>
    <definedName name="CRI11B94" localSheetId="12">[4]CONTROL!$I$35:$O$36</definedName>
    <definedName name="CRI11B94">#REF!</definedName>
    <definedName name="CRI11B95" localSheetId="7">[4]CONTROL!$I$47:$O$48</definedName>
    <definedName name="CRI11B95" localSheetId="11">#REF!</definedName>
    <definedName name="CRI11B95" localSheetId="12">[4]CONTROL!$I$47:$O$48</definedName>
    <definedName name="CRI11B95">#REF!</definedName>
    <definedName name="CRI11B96" localSheetId="7">[4]CONTROL!$I$56:$O$57</definedName>
    <definedName name="CRI11B96" localSheetId="11">#REF!</definedName>
    <definedName name="CRI11B96" localSheetId="12">[4]CONTROL!$I$56:$O$57</definedName>
    <definedName name="CRI11B96">#REF!</definedName>
    <definedName name="CRI11B97" localSheetId="7">[4]CONTROL!$I$214:$O$215</definedName>
    <definedName name="CRI11B97" localSheetId="11">#REF!</definedName>
    <definedName name="CRI11B97" localSheetId="12">[4]CONTROL!$I$214:$O$215</definedName>
    <definedName name="CRI11B97">#REF!</definedName>
    <definedName name="CRI11B98" localSheetId="7">[4]CONTROL!$I$268:$O$269</definedName>
    <definedName name="CRI11B98" localSheetId="11">#REF!</definedName>
    <definedName name="CRI11B98" localSheetId="12">[4]CONTROL!$I$268:$O$269</definedName>
    <definedName name="CRI11B98">#REF!</definedName>
    <definedName name="CRI11C94" localSheetId="7">[4]CONTROL!$I$40:$O$41</definedName>
    <definedName name="CRI11C94" localSheetId="11">#REF!</definedName>
    <definedName name="CRI11C94" localSheetId="12">[4]CONTROL!$I$40:$O$41</definedName>
    <definedName name="CRI11C94">#REF!</definedName>
    <definedName name="CRI11C95" localSheetId="7">[4]CONTROL!$I$50:$O$51</definedName>
    <definedName name="CRI11C95" localSheetId="11">#REF!</definedName>
    <definedName name="CRI11C95" localSheetId="12">[4]CONTROL!$I$50:$O$51</definedName>
    <definedName name="CRI11C95">#REF!</definedName>
    <definedName name="CRI11C96" localSheetId="7">[4]CONTROL!$I$59:$O$60</definedName>
    <definedName name="CRI11C96" localSheetId="11">#REF!</definedName>
    <definedName name="CRI11C96" localSheetId="12">[4]CONTROL!$I$59:$O$60</definedName>
    <definedName name="CRI11C96">#REF!</definedName>
    <definedName name="CRI11C97" localSheetId="7">[4]CONTROL!$I$217:$O$218</definedName>
    <definedName name="CRI11C97" localSheetId="11">#REF!</definedName>
    <definedName name="CRI11C97" localSheetId="12">[4]CONTROL!$I$217:$O$218</definedName>
    <definedName name="CRI11C97">#REF!</definedName>
    <definedName name="CRI11C98" localSheetId="7">[4]CONTROL!$I$271:$O$272</definedName>
    <definedName name="CRI11C98" localSheetId="11">#REF!</definedName>
    <definedName name="CRI11C98" localSheetId="12">[4]CONTROL!$I$271:$O$272</definedName>
    <definedName name="CRI11C98">#REF!</definedName>
    <definedName name="CRI12A94" localSheetId="7">[4]CONTROL!$I$62:$O$63</definedName>
    <definedName name="CRI12A94" localSheetId="11">#REF!</definedName>
    <definedName name="CRI12A94" localSheetId="12">[4]CONTROL!$I$62:$O$63</definedName>
    <definedName name="CRI12A94">#REF!</definedName>
    <definedName name="CRI12A95" localSheetId="7">[4]CONTROL!$I$70:$O$71</definedName>
    <definedName name="CRI12A95" localSheetId="11">#REF!</definedName>
    <definedName name="CRI12A95" localSheetId="12">[4]CONTROL!$I$70:$O$71</definedName>
    <definedName name="CRI12A95">#REF!</definedName>
    <definedName name="CRI12A96" localSheetId="7">[4]CONTROL!$I$79:$O$80</definedName>
    <definedName name="CRI12A96" localSheetId="11">#REF!</definedName>
    <definedName name="CRI12A96" localSheetId="12">[4]CONTROL!$I$79:$O$80</definedName>
    <definedName name="CRI12A96">#REF!</definedName>
    <definedName name="CRI12A97" localSheetId="7">[4]CONTROL!$I$220:$O$221</definedName>
    <definedName name="CRI12A97" localSheetId="11">#REF!</definedName>
    <definedName name="CRI12A97" localSheetId="12">[4]CONTROL!$I$220:$O$221</definedName>
    <definedName name="CRI12A97">#REF!</definedName>
    <definedName name="CRI12A98" localSheetId="7">[4]CONTROL!$I$274:$O$275</definedName>
    <definedName name="CRI12A98" localSheetId="11">#REF!</definedName>
    <definedName name="CRI12A98" localSheetId="12">[4]CONTROL!$I$274:$O$275</definedName>
    <definedName name="CRI12A98">#REF!</definedName>
    <definedName name="CRI12B94" localSheetId="7">[4]CONTROL!$I$65:$O$66</definedName>
    <definedName name="CRI12B94" localSheetId="11">#REF!</definedName>
    <definedName name="CRI12B94" localSheetId="12">[4]CONTROL!$I$65:$O$66</definedName>
    <definedName name="CRI12B94">#REF!</definedName>
    <definedName name="CRI12B95" localSheetId="7">[4]CONTROL!$I$73:$O$74</definedName>
    <definedName name="CRI12B95" localSheetId="11">#REF!</definedName>
    <definedName name="CRI12B95" localSheetId="12">[4]CONTROL!$I$73:$O$74</definedName>
    <definedName name="CRI12B95">#REF!</definedName>
    <definedName name="CRI12B96" localSheetId="7">[4]CONTROL!$I$82:$O$83</definedName>
    <definedName name="CRI12B96" localSheetId="11">#REF!</definedName>
    <definedName name="CRI12B96" localSheetId="12">[4]CONTROL!$I$82:$O$83</definedName>
    <definedName name="CRI12B96">#REF!</definedName>
    <definedName name="CRI12B97" localSheetId="7">[4]CONTROL!$I$223:$O$224</definedName>
    <definedName name="CRI12B97" localSheetId="11">#REF!</definedName>
    <definedName name="CRI12B97" localSheetId="12">[4]CONTROL!$I$223:$O$224</definedName>
    <definedName name="CRI12B97">#REF!</definedName>
    <definedName name="CRI12B98" localSheetId="7">[4]CONTROL!$I$277:$O$278</definedName>
    <definedName name="CRI12B98" localSheetId="11">#REF!</definedName>
    <definedName name="CRI12B98" localSheetId="12">[4]CONTROL!$I$277:$O$278</definedName>
    <definedName name="CRI12B98">#REF!</definedName>
    <definedName name="CRI12C94" localSheetId="7">[4]CONTROL!$I$67:$O$68</definedName>
    <definedName name="CRI12C94" localSheetId="11">#REF!</definedName>
    <definedName name="CRI12C94" localSheetId="12">[4]CONTROL!$I$67:$O$68</definedName>
    <definedName name="CRI12C94">#REF!</definedName>
    <definedName name="CRI12C95" localSheetId="7">[4]CONTROL!$I$76:$O$77</definedName>
    <definedName name="CRI12C95" localSheetId="11">#REF!</definedName>
    <definedName name="CRI12C95" localSheetId="12">[4]CONTROL!$I$76:$O$77</definedName>
    <definedName name="CRI12C95">#REF!</definedName>
    <definedName name="CRI12C96" localSheetId="7">[4]CONTROL!$I$92:$O$93</definedName>
    <definedName name="CRI12C96" localSheetId="11">#REF!</definedName>
    <definedName name="CRI12C96" localSheetId="12">[4]CONTROL!$I$92:$O$93</definedName>
    <definedName name="CRI12C96">#REF!</definedName>
    <definedName name="CRI12C97" localSheetId="7">[4]CONTROL!$I$226:$O$227</definedName>
    <definedName name="CRI12C97" localSheetId="11">#REF!</definedName>
    <definedName name="CRI12C97" localSheetId="12">[4]CONTROL!$I$226:$O$227</definedName>
    <definedName name="CRI12C97">#REF!</definedName>
    <definedName name="CRI12C98" localSheetId="7">[4]CONTROL!$I$280:$O$281</definedName>
    <definedName name="CRI12C98" localSheetId="11">#REF!</definedName>
    <definedName name="CRI12C98" localSheetId="12">[4]CONTROL!$I$280:$O$281</definedName>
    <definedName name="CRI12C98">#REF!</definedName>
    <definedName name="CRI13A94" localSheetId="7">[4]CONTROL!$I$95:$O$96</definedName>
    <definedName name="CRI13A94" localSheetId="11">#REF!</definedName>
    <definedName name="CRI13A94" localSheetId="12">[4]CONTROL!$I$95:$O$96</definedName>
    <definedName name="CRI13A94">#REF!</definedName>
    <definedName name="CRI13A95" localSheetId="7">[4]CONTROL!$I$106:$O$107</definedName>
    <definedName name="CRI13A95" localSheetId="11">#REF!</definedName>
    <definedName name="CRI13A95" localSheetId="12">[4]CONTROL!$I$106:$O$107</definedName>
    <definedName name="CRI13A95">#REF!</definedName>
    <definedName name="CRI13A96" localSheetId="7">[4]CONTROL!$I$115:$O$116</definedName>
    <definedName name="CRI13A96" localSheetId="11">#REF!</definedName>
    <definedName name="CRI13A96" localSheetId="12">[4]CONTROL!$I$115:$O$116</definedName>
    <definedName name="CRI13A96">#REF!</definedName>
    <definedName name="CRI13A97" localSheetId="7">[4]CONTROL!$I$229:$O$230</definedName>
    <definedName name="CRI13A97" localSheetId="11">#REF!</definedName>
    <definedName name="CRI13A97" localSheetId="12">[4]CONTROL!$I$229:$O$230</definedName>
    <definedName name="CRI13A97">#REF!</definedName>
    <definedName name="CRI13A98" localSheetId="7">[4]CONTROL!$I$283:$O$284</definedName>
    <definedName name="CRI13A98" localSheetId="11">#REF!</definedName>
    <definedName name="CRI13A98" localSheetId="12">[4]CONTROL!$I$283:$O$284</definedName>
    <definedName name="CRI13A98">#REF!</definedName>
    <definedName name="CRI13B94" localSheetId="7">[4]CONTROL!$I$98:$O$99</definedName>
    <definedName name="CRI13B94" localSheetId="11">#REF!</definedName>
    <definedName name="CRI13B94" localSheetId="12">[4]CONTROL!$I$98:$O$99</definedName>
    <definedName name="CRI13B94">#REF!</definedName>
    <definedName name="CRI13B95" localSheetId="7">[4]CONTROL!$I$109:$O$110</definedName>
    <definedName name="CRI13B95" localSheetId="11">#REF!</definedName>
    <definedName name="CRI13B95" localSheetId="12">[4]CONTROL!$I$109:$O$110</definedName>
    <definedName name="CRI13B95">#REF!</definedName>
    <definedName name="CRI13B96" localSheetId="7">[4]CONTROL!$I$122:$O$123</definedName>
    <definedName name="CRI13B96" localSheetId="11">#REF!</definedName>
    <definedName name="CRI13B96" localSheetId="12">[4]CONTROL!$I$122:$O$123</definedName>
    <definedName name="CRI13B96">#REF!</definedName>
    <definedName name="CRI13B97" localSheetId="7">[4]CONTROL!$I$232:$O$233</definedName>
    <definedName name="CRI13B97" localSheetId="11">#REF!</definedName>
    <definedName name="CRI13B97" localSheetId="12">[4]CONTROL!$I$232:$O$233</definedName>
    <definedName name="CRI13B97">#REF!</definedName>
    <definedName name="CRI13B98" localSheetId="7">[4]CONTROL!$I$286:$O$287</definedName>
    <definedName name="CRI13B98" localSheetId="11">#REF!</definedName>
    <definedName name="CRI13B98" localSheetId="12">[4]CONTROL!$I$286:$O$287</definedName>
    <definedName name="CRI13B98">#REF!</definedName>
    <definedName name="CRI13C94" localSheetId="7">[4]CONTROL!$I$103:$O$104</definedName>
    <definedName name="CRI13C94" localSheetId="11">#REF!</definedName>
    <definedName name="CRI13C94" localSheetId="12">[4]CONTROL!$I$103:$O$104</definedName>
    <definedName name="CRI13C94">#REF!</definedName>
    <definedName name="CRI13C95" localSheetId="7">[4]CONTROL!$I$112:$O$113</definedName>
    <definedName name="CRI13C95" localSheetId="11">#REF!</definedName>
    <definedName name="CRI13C95" localSheetId="12">[4]CONTROL!$I$112:$O$113</definedName>
    <definedName name="CRI13C95">#REF!</definedName>
    <definedName name="CRI13C96" localSheetId="7">[4]CONTROL!$I$127:$O$128</definedName>
    <definedName name="CRI13C96" localSheetId="11">#REF!</definedName>
    <definedName name="CRI13C96" localSheetId="12">[4]CONTROL!$I$127:$O$128</definedName>
    <definedName name="CRI13C96">#REF!</definedName>
    <definedName name="CRI13C97" localSheetId="7">[4]CONTROL!$I$235:$O$236</definedName>
    <definedName name="CRI13C97" localSheetId="11">#REF!</definedName>
    <definedName name="CRI13C97" localSheetId="12">[4]CONTROL!$I$235:$O$236</definedName>
    <definedName name="CRI13C97">#REF!</definedName>
    <definedName name="CRI13C98" localSheetId="7">[4]CONTROL!$I$289:$O$290</definedName>
    <definedName name="CRI13C98" localSheetId="11">#REF!</definedName>
    <definedName name="CRI13C98" localSheetId="12">[4]CONTROL!$I$289:$O$290</definedName>
    <definedName name="CRI13C98">#REF!</definedName>
    <definedName name="CRI14A94" localSheetId="7">[4]CONTROL!$I$130:$O$131</definedName>
    <definedName name="CRI14A94" localSheetId="11">#REF!</definedName>
    <definedName name="CRI14A94" localSheetId="12">[4]CONTROL!$I$130:$O$131</definedName>
    <definedName name="CRI14A94">#REF!</definedName>
    <definedName name="CRI14A95" localSheetId="7">[4]CONTROL!$I$139:$O$140</definedName>
    <definedName name="CRI14A95" localSheetId="11">#REF!</definedName>
    <definedName name="CRI14A95" localSheetId="12">[4]CONTROL!$I$139:$O$140</definedName>
    <definedName name="CRI14A95">#REF!</definedName>
    <definedName name="CRI14A96" localSheetId="7">[4]CONTROL!$I$148:$O$149</definedName>
    <definedName name="CRI14A96" localSheetId="11">#REF!</definedName>
    <definedName name="CRI14A96" localSheetId="12">[4]CONTROL!$I$148:$O$149</definedName>
    <definedName name="CRI14A96">#REF!</definedName>
    <definedName name="CRI14A97" localSheetId="7">[4]CONTROL!$I$238:$O$239</definedName>
    <definedName name="CRI14A97" localSheetId="11">#REF!</definedName>
    <definedName name="CRI14A97" localSheetId="12">[4]CONTROL!$I$238:$O$239</definedName>
    <definedName name="CRI14A97">#REF!</definedName>
    <definedName name="CRI14A98" localSheetId="7">[4]CONTROL!$I$292:$O$293</definedName>
    <definedName name="CRI14A98" localSheetId="11">#REF!</definedName>
    <definedName name="CRI14A98" localSheetId="12">[4]CONTROL!$I$292:$O$293</definedName>
    <definedName name="CRI14A98">#REF!</definedName>
    <definedName name="CRI14B94" localSheetId="7">[4]CONTROL!$I$133:$O$134</definedName>
    <definedName name="CRI14B94" localSheetId="11">#REF!</definedName>
    <definedName name="CRI14B94" localSheetId="12">[4]CONTROL!$I$133:$O$134</definedName>
    <definedName name="CRI14B94">#REF!</definedName>
    <definedName name="CRI14B95" localSheetId="7">[4]CONTROL!$I$142:$O$143</definedName>
    <definedName name="CRI14B95" localSheetId="11">#REF!</definedName>
    <definedName name="CRI14B95" localSheetId="12">[4]CONTROL!$I$142:$O$143</definedName>
    <definedName name="CRI14B95">#REF!</definedName>
    <definedName name="CRI14B96" localSheetId="7">[4]CONTROL!$I$151:$O$152</definedName>
    <definedName name="CRI14B96" localSheetId="11">#REF!</definedName>
    <definedName name="CRI14B96" localSheetId="12">[4]CONTROL!$I$151:$O$152</definedName>
    <definedName name="CRI14B96">#REF!</definedName>
    <definedName name="CRI14B97" localSheetId="7">[4]CONTROL!$I$241:$O$242</definedName>
    <definedName name="CRI14B97" localSheetId="11">#REF!</definedName>
    <definedName name="CRI14B97" localSheetId="12">[4]CONTROL!$I$241:$O$242</definedName>
    <definedName name="CRI14B97">#REF!</definedName>
    <definedName name="CRI14B98" localSheetId="7">[4]CONTROL!$I$295:$O$296</definedName>
    <definedName name="CRI14B98" localSheetId="11">#REF!</definedName>
    <definedName name="CRI14B98" localSheetId="12">[4]CONTROL!$I$295:$O$296</definedName>
    <definedName name="CRI14B98">#REF!</definedName>
    <definedName name="CRI14C94" localSheetId="7">[4]CONTROL!$I$136:$O$137</definedName>
    <definedName name="CRI14C94" localSheetId="11">#REF!</definedName>
    <definedName name="CRI14C94" localSheetId="12">[4]CONTROL!$I$136:$O$137</definedName>
    <definedName name="CRI14C94">#REF!</definedName>
    <definedName name="CRI14C95" localSheetId="7">[4]CONTROL!$I$145:$O$146</definedName>
    <definedName name="CRI14C95" localSheetId="11">#REF!</definedName>
    <definedName name="CRI14C95" localSheetId="12">[4]CONTROL!$I$145:$O$146</definedName>
    <definedName name="CRI14C95">#REF!</definedName>
    <definedName name="CRI14C96" localSheetId="7">[4]CONTROL!$I$154:$O$155</definedName>
    <definedName name="CRI14C96" localSheetId="11">#REF!</definedName>
    <definedName name="CRI14C96" localSheetId="12">[4]CONTROL!$I$154:$O$155</definedName>
    <definedName name="CRI14C96">#REF!</definedName>
    <definedName name="CRI14C97" localSheetId="7">[4]CONTROL!$I$244:$O$245</definedName>
    <definedName name="CRI14C97" localSheetId="11">#REF!</definedName>
    <definedName name="CRI14C97" localSheetId="12">[4]CONTROL!$I$244:$O$245</definedName>
    <definedName name="CRI14C97">#REF!</definedName>
    <definedName name="CRI14C98" localSheetId="7">[4]CONTROL!$I$298:$O$299</definedName>
    <definedName name="CRI14C98" localSheetId="11">#REF!</definedName>
    <definedName name="CRI14C98" localSheetId="12">[4]CONTROL!$I$298:$O$299</definedName>
    <definedName name="CRI14C98">#REF!</definedName>
    <definedName name="CRI15A03" localSheetId="6">#REF!</definedName>
    <definedName name="CRI15A03" localSheetId="7">[5]CONTROL!$I$381:$O$382</definedName>
    <definedName name="CRI15A03" localSheetId="11">#REF!</definedName>
    <definedName name="CRI15A03" localSheetId="12">[5]CONTROL!$I$381:$O$382</definedName>
    <definedName name="CRI15A03">#REF!</definedName>
    <definedName name="CRI15A94" localSheetId="6">#REF!</definedName>
    <definedName name="CRI15A94" localSheetId="7">[5]CONTROL!$I$157:$O$158</definedName>
    <definedName name="CRI15A94" localSheetId="11">#REF!</definedName>
    <definedName name="CRI15A94" localSheetId="12">[5]CONTROL!$I$157:$O$158</definedName>
    <definedName name="CRI15A94">#REF!</definedName>
    <definedName name="CRI15A95" localSheetId="6">#REF!</definedName>
    <definedName name="CRI15A95" localSheetId="7">[5]CONTROL!$I$166:$O$167</definedName>
    <definedName name="CRI15A95" localSheetId="11">#REF!</definedName>
    <definedName name="CRI15A95" localSheetId="12">[5]CONTROL!$I$166:$O$167</definedName>
    <definedName name="CRI15A95">#REF!</definedName>
    <definedName name="CRI15A96" localSheetId="6">#REF!</definedName>
    <definedName name="CRI15A96" localSheetId="7">[5]CONTROL!$I$175:$O$176</definedName>
    <definedName name="CRI15A96" localSheetId="11">#REF!</definedName>
    <definedName name="CRI15A96" localSheetId="12">[5]CONTROL!$I$175:$O$176</definedName>
    <definedName name="CRI15A96">#REF!</definedName>
    <definedName name="CRI15A97" localSheetId="6">#REF!</definedName>
    <definedName name="CRI15A97" localSheetId="7">[5]CONTROL!$I$247:$O$248</definedName>
    <definedName name="CRI15A97" localSheetId="11">#REF!</definedName>
    <definedName name="CRI15A97" localSheetId="12">[5]CONTROL!$I$247:$O$248</definedName>
    <definedName name="CRI15A97">#REF!</definedName>
    <definedName name="CRI15A98" localSheetId="6">#REF!</definedName>
    <definedName name="CRI15A98" localSheetId="7">[5]CONTROL!$I$301:$O$302</definedName>
    <definedName name="CRI15A98" localSheetId="11">#REF!</definedName>
    <definedName name="CRI15A98" localSheetId="12">[5]CONTROL!$I$301:$O$302</definedName>
    <definedName name="CRI15A98">#REF!</definedName>
    <definedName name="CRI15B03" localSheetId="6">#REF!</definedName>
    <definedName name="CRI15B03" localSheetId="7">[5]CONTROL!$I$384:$O$385</definedName>
    <definedName name="CRI15B03" localSheetId="11">#REF!</definedName>
    <definedName name="CRI15B03" localSheetId="12">[5]CONTROL!$I$384:$O$385</definedName>
    <definedName name="CRI15B03">#REF!</definedName>
    <definedName name="CRI15B94" localSheetId="6">#REF!</definedName>
    <definedName name="CRI15B94" localSheetId="7">[5]CONTROL!$I$160:$O$161</definedName>
    <definedName name="CRI15B94" localSheetId="11">#REF!</definedName>
    <definedName name="CRI15B94" localSheetId="12">[5]CONTROL!$I$160:$O$161</definedName>
    <definedName name="CRI15B94">#REF!</definedName>
    <definedName name="CRI15B95" localSheetId="6">#REF!</definedName>
    <definedName name="CRI15B95" localSheetId="7">[5]CONTROL!$I$169:$O$170</definedName>
    <definedName name="CRI15B95" localSheetId="11">#REF!</definedName>
    <definedName name="CRI15B95" localSheetId="12">[5]CONTROL!$I$169:$O$170</definedName>
    <definedName name="CRI15B95">#REF!</definedName>
    <definedName name="CRI15B96" localSheetId="6">#REF!</definedName>
    <definedName name="CRI15B96" localSheetId="7">[5]CONTROL!$I$178:$O$179</definedName>
    <definedName name="CRI15B96" localSheetId="11">#REF!</definedName>
    <definedName name="CRI15B96" localSheetId="12">[5]CONTROL!$I$178:$O$179</definedName>
    <definedName name="CRI15B96">#REF!</definedName>
    <definedName name="CRI15B97" localSheetId="6">#REF!</definedName>
    <definedName name="CRI15B97" localSheetId="7">[5]CONTROL!$I$250:$O$251</definedName>
    <definedName name="CRI15B97" localSheetId="11">#REF!</definedName>
    <definedName name="CRI15B97" localSheetId="12">[5]CONTROL!$I$250:$O$251</definedName>
    <definedName name="CRI15B97">#REF!</definedName>
    <definedName name="CRI15B98" localSheetId="6">#REF!</definedName>
    <definedName name="CRI15B98" localSheetId="7">[5]CONTROL!$I$304:$O$305</definedName>
    <definedName name="CRI15B98" localSheetId="11">#REF!</definedName>
    <definedName name="CRI15B98" localSheetId="12">[5]CONTROL!$I$304:$O$305</definedName>
    <definedName name="CRI15B98">#REF!</definedName>
    <definedName name="CRI15C03" localSheetId="6">#REF!</definedName>
    <definedName name="CRI15C03" localSheetId="7">[5]CONTROL!$I$387:$O$388</definedName>
    <definedName name="CRI15C03" localSheetId="11">#REF!</definedName>
    <definedName name="CRI15C03" localSheetId="12">[5]CONTROL!$I$387:$O$388</definedName>
    <definedName name="CRI15C03">#REF!</definedName>
    <definedName name="CRI15C94" localSheetId="6">#REF!</definedName>
    <definedName name="CRI15C94" localSheetId="7">[5]CONTROL!$I$163:$O$164</definedName>
    <definedName name="CRI15C94" localSheetId="11">#REF!</definedName>
    <definedName name="CRI15C94" localSheetId="12">[5]CONTROL!$I$163:$O$164</definedName>
    <definedName name="CRI15C94">#REF!</definedName>
    <definedName name="CRI15C95" localSheetId="6">#REF!</definedName>
    <definedName name="CRI15C95" localSheetId="7">[5]CONTROL!$I$172:$O$173</definedName>
    <definedName name="CRI15C95" localSheetId="11">#REF!</definedName>
    <definedName name="CRI15C95" localSheetId="12">[5]CONTROL!$I$172:$O$173</definedName>
    <definedName name="CRI15C95">#REF!</definedName>
    <definedName name="CRI15C96" localSheetId="6">#REF!</definedName>
    <definedName name="CRI15C96" localSheetId="7">[5]CONTROL!$I$181:$O$182</definedName>
    <definedName name="CRI15C96" localSheetId="11">#REF!</definedName>
    <definedName name="CRI15C96" localSheetId="12">[5]CONTROL!$I$181:$O$182</definedName>
    <definedName name="CRI15C96">#REF!</definedName>
    <definedName name="CRI15C97" localSheetId="6">#REF!</definedName>
    <definedName name="CRI15C97" localSheetId="7">[5]CONTROL!$I$253:$O$254</definedName>
    <definedName name="CRI15C97" localSheetId="11">#REF!</definedName>
    <definedName name="CRI15C97" localSheetId="12">[5]CONTROL!$I$253:$O$254</definedName>
    <definedName name="CRI15C97">#REF!</definedName>
    <definedName name="CRI15C98" localSheetId="6">#REF!</definedName>
    <definedName name="CRI15C98" localSheetId="7">[5]CONTROL!$I$307:$O$308</definedName>
    <definedName name="CRI15C98" localSheetId="11">#REF!</definedName>
    <definedName name="CRI15C98" localSheetId="12">[5]CONTROL!$I$307:$O$308</definedName>
    <definedName name="CRI15C98">#REF!</definedName>
    <definedName name="CRI16A94" localSheetId="7">[4]CONTROL!$I$184:$O$185</definedName>
    <definedName name="CRI16A94" localSheetId="11">#REF!</definedName>
    <definedName name="CRI16A94" localSheetId="12">[4]CONTROL!$I$184:$O$185</definedName>
    <definedName name="CRI16A94">#REF!</definedName>
    <definedName name="CRI16A95" localSheetId="7">[4]CONTROL!$I$193:$O$194</definedName>
    <definedName name="CRI16A95" localSheetId="11">#REF!</definedName>
    <definedName name="CRI16A95" localSheetId="12">[4]CONTROL!$I$193:$O$194</definedName>
    <definedName name="CRI16A95">#REF!</definedName>
    <definedName name="CRI16A96" localSheetId="7">[4]CONTROL!$I$202:$O$203</definedName>
    <definedName name="CRI16A96" localSheetId="11">#REF!</definedName>
    <definedName name="CRI16A96" localSheetId="12">[4]CONTROL!$I$202:$O$203</definedName>
    <definedName name="CRI16A96">#REF!</definedName>
    <definedName name="CRI16A97" localSheetId="7">[4]CONTROL!$I$256:$O$257</definedName>
    <definedName name="CRI16A97" localSheetId="11">#REF!</definedName>
    <definedName name="CRI16A97" localSheetId="12">[4]CONTROL!$I$256:$O$257</definedName>
    <definedName name="CRI16A97">#REF!</definedName>
    <definedName name="CRI16A98" localSheetId="7">[4]CONTROL!$I$310:$O$311</definedName>
    <definedName name="CRI16A98" localSheetId="11">#REF!</definedName>
    <definedName name="CRI16A98" localSheetId="12">[4]CONTROL!$I$310:$O$311</definedName>
    <definedName name="CRI16A98">#REF!</definedName>
    <definedName name="CRI16B94" localSheetId="7">[4]CONTROL!$I$187:$O$188</definedName>
    <definedName name="CRI16B94" localSheetId="11">#REF!</definedName>
    <definedName name="CRI16B94" localSheetId="12">[4]CONTROL!$I$187:$O$188</definedName>
    <definedName name="CRI16B94">#REF!</definedName>
    <definedName name="CRI16B95" localSheetId="7">[4]CONTROL!$I$196:$O$197</definedName>
    <definedName name="CRI16B95" localSheetId="11">#REF!</definedName>
    <definedName name="CRI16B95" localSheetId="12">[4]CONTROL!$I$196:$O$197</definedName>
    <definedName name="CRI16B95">#REF!</definedName>
    <definedName name="CRI16B96" localSheetId="7">[4]CONTROL!$I$205:$O$206</definedName>
    <definedName name="CRI16B96" localSheetId="11">#REF!</definedName>
    <definedName name="CRI16B96" localSheetId="12">[4]CONTROL!$I$205:$O$206</definedName>
    <definedName name="CRI16B96">#REF!</definedName>
    <definedName name="CRI16B97" localSheetId="7">[4]CONTROL!$I$259:$O$260</definedName>
    <definedName name="CRI16B97" localSheetId="11">#REF!</definedName>
    <definedName name="CRI16B97" localSheetId="12">[4]CONTROL!$I$259:$O$260</definedName>
    <definedName name="CRI16B97">#REF!</definedName>
    <definedName name="CRI16B98" localSheetId="7">[4]CONTROL!$I$313:$O$314</definedName>
    <definedName name="CRI16B98" localSheetId="11">#REF!</definedName>
    <definedName name="CRI16B98" localSheetId="12">[4]CONTROL!$I$313:$O$314</definedName>
    <definedName name="CRI16B98">#REF!</definedName>
    <definedName name="CRI16C94" localSheetId="7">[4]CONTROL!$I$190:$O$191</definedName>
    <definedName name="CRI16C94" localSheetId="11">#REF!</definedName>
    <definedName name="CRI16C94" localSheetId="12">[4]CONTROL!$I$190:$O$191</definedName>
    <definedName name="CRI16C94">#REF!</definedName>
    <definedName name="CRI16C95" localSheetId="7">[4]CONTROL!$I$199:$O$200</definedName>
    <definedName name="CRI16C95" localSheetId="11">#REF!</definedName>
    <definedName name="CRI16C95" localSheetId="12">[4]CONTROL!$I$199:$O$200</definedName>
    <definedName name="CRI16C95">#REF!</definedName>
    <definedName name="CRI16C96" localSheetId="7">[4]CONTROL!$I$208:$O$209</definedName>
    <definedName name="CRI16C96" localSheetId="11">#REF!</definedName>
    <definedName name="CRI16C96" localSheetId="12">[4]CONTROL!$I$208:$O$209</definedName>
    <definedName name="CRI16C96">#REF!</definedName>
    <definedName name="CRI16C97" localSheetId="7">[4]CONTROL!$I$262:$O$263</definedName>
    <definedName name="CRI16C97" localSheetId="11">#REF!</definedName>
    <definedName name="CRI16C97" localSheetId="12">[4]CONTROL!$I$262:$O$263</definedName>
    <definedName name="CRI16C97">#REF!</definedName>
    <definedName name="CRI16C98" localSheetId="7">[4]CONTROL!$I$316:$O$317</definedName>
    <definedName name="CRI16C98" localSheetId="11">#REF!</definedName>
    <definedName name="CRI16C98" localSheetId="12">[4]CONTROL!$I$316:$O$317</definedName>
    <definedName name="CRI16C98">#REF!</definedName>
    <definedName name="CRIFT1495" localSheetId="7">[4]CONTROL!$A$280:$E$281</definedName>
    <definedName name="CRIFT1495" localSheetId="11">#REF!</definedName>
    <definedName name="CRIFT1495" localSheetId="12">[4]CONTROL!$A$280:$E$281</definedName>
    <definedName name="CRIFT1495">#REF!</definedName>
    <definedName name="CRIFT1496" localSheetId="7">[4]CONTROL!$A$290:$E$291</definedName>
    <definedName name="CRIFT1496" localSheetId="11">#REF!</definedName>
    <definedName name="CRIFT1496" localSheetId="12">[4]CONTROL!$A$290:$E$291</definedName>
    <definedName name="CRIFT1496">#REF!</definedName>
    <definedName name="CRIFT1497" localSheetId="7">[4]CONTROL!$A$300:$E$301</definedName>
    <definedName name="CRIFT1497" localSheetId="11">#REF!</definedName>
    <definedName name="CRIFT1497" localSheetId="12">[4]CONTROL!$A$300:$E$301</definedName>
    <definedName name="CRIFT1497">#REF!</definedName>
    <definedName name="CRIFT1498" localSheetId="7">[4]CONTROL!$A$310:$E$311</definedName>
    <definedName name="CRIFT1498" localSheetId="11">#REF!</definedName>
    <definedName name="CRIFT1498" localSheetId="12">[4]CONTROL!$A$310:$E$311</definedName>
    <definedName name="CRIFT1498">#REF!</definedName>
    <definedName name="CRIFT1499" localSheetId="7">[4]CONTROL!$A$320:$E$321</definedName>
    <definedName name="CRIFT1499" localSheetId="11">#REF!</definedName>
    <definedName name="CRIFT1499" localSheetId="12">[4]CONTROL!$A$320:$E$321</definedName>
    <definedName name="CRIFT1499">#REF!</definedName>
    <definedName name="CRIFT1595" localSheetId="7">[4]CONTROL!$A$282:$E$283</definedName>
    <definedName name="CRIFT1595" localSheetId="11">#REF!</definedName>
    <definedName name="CRIFT1595" localSheetId="12">[4]CONTROL!$A$282:$E$283</definedName>
    <definedName name="CRIFT1595">#REF!</definedName>
    <definedName name="CRIFT1596" localSheetId="7">[4]CONTROL!$A$292:$E$293</definedName>
    <definedName name="CRIFT1596" localSheetId="11">#REF!</definedName>
    <definedName name="CRIFT1596" localSheetId="12">[4]CONTROL!$A$292:$E$293</definedName>
    <definedName name="CRIFT1596">#REF!</definedName>
    <definedName name="CRIFT1597" localSheetId="7">[4]CONTROL!$A$302:$E$303</definedName>
    <definedName name="CRIFT1597" localSheetId="11">#REF!</definedName>
    <definedName name="CRIFT1597" localSheetId="12">[4]CONTROL!$A$302:$E$303</definedName>
    <definedName name="CRIFT1597">#REF!</definedName>
    <definedName name="CRIFT1598" localSheetId="7">[4]CONTROL!$A$312:$E$313</definedName>
    <definedName name="CRIFT1598" localSheetId="11">#REF!</definedName>
    <definedName name="CRIFT1598" localSheetId="12">[4]CONTROL!$A$312:$E$313</definedName>
    <definedName name="CRIFT1598">#REF!</definedName>
    <definedName name="CRIFT1599" localSheetId="7">[4]CONTROL!$A$322:$E$323</definedName>
    <definedName name="CRIFT1599" localSheetId="11">#REF!</definedName>
    <definedName name="CRIFT1599" localSheetId="12">[4]CONTROL!$A$322:$E$323</definedName>
    <definedName name="CRIFT1599">#REF!</definedName>
    <definedName name="CRIFT1695" localSheetId="7">[4]CONTROL!$A$284:$E$285</definedName>
    <definedName name="CRIFT1695" localSheetId="11">#REF!</definedName>
    <definedName name="CRIFT1695" localSheetId="12">[4]CONTROL!$A$284:$E$285</definedName>
    <definedName name="CRIFT1695">#REF!</definedName>
    <definedName name="CRIFT1696" localSheetId="7">[4]CONTROL!$A$294:$E$295</definedName>
    <definedName name="CRIFT1696" localSheetId="11">#REF!</definedName>
    <definedName name="CRIFT1696" localSheetId="12">[4]CONTROL!$A$294:$E$295</definedName>
    <definedName name="CRIFT1696">#REF!</definedName>
    <definedName name="CRIFT1697" localSheetId="7">[4]CONTROL!$A$304:$E$305</definedName>
    <definedName name="CRIFT1697" localSheetId="11">#REF!</definedName>
    <definedName name="CRIFT1697" localSheetId="12">[4]CONTROL!$A$304:$E$305</definedName>
    <definedName name="CRIFT1697">#REF!</definedName>
    <definedName name="CRIFT1698" localSheetId="7">[4]CONTROL!$A$314:$E$315</definedName>
    <definedName name="CRIFT1698" localSheetId="11">#REF!</definedName>
    <definedName name="CRIFT1698" localSheetId="12">[4]CONTROL!$A$314:$E$315</definedName>
    <definedName name="CRIFT1698">#REF!</definedName>
    <definedName name="CRIFT1699" localSheetId="7">[4]CONTROL!$A$324:$E$325</definedName>
    <definedName name="CRIFT1699" localSheetId="11">#REF!</definedName>
    <definedName name="CRIFT1699" localSheetId="12">[4]CONTROL!$A$324:$E$325</definedName>
    <definedName name="CRIFT1699">#REF!</definedName>
    <definedName name="CRIFT2195" localSheetId="7">[4]CONTROL!$A$286:$E$287</definedName>
    <definedName name="CRIFT2195" localSheetId="11">#REF!</definedName>
    <definedName name="CRIFT2195" localSheetId="12">[4]CONTROL!$A$286:$E$287</definedName>
    <definedName name="CRIFT2195">#REF!</definedName>
    <definedName name="CRIFT2196" localSheetId="7">[4]CONTROL!$A$296:$E$297</definedName>
    <definedName name="CRIFT2196" localSheetId="11">#REF!</definedName>
    <definedName name="CRIFT2196" localSheetId="12">[4]CONTROL!$A$296:$E$297</definedName>
    <definedName name="CRIFT2196">#REF!</definedName>
    <definedName name="CRIFT2197" localSheetId="7">[4]CONTROL!$A$306:$E$307</definedName>
    <definedName name="CRIFT2197" localSheetId="11">#REF!</definedName>
    <definedName name="CRIFT2197" localSheetId="12">[4]CONTROL!$A$306:$E$307</definedName>
    <definedName name="CRIFT2197">#REF!</definedName>
    <definedName name="CRIFT2198" localSheetId="7">[4]CONTROL!$A$316:$E$317</definedName>
    <definedName name="CRIFT2198" localSheetId="11">#REF!</definedName>
    <definedName name="CRIFT2198" localSheetId="12">[4]CONTROL!$A$316:$E$317</definedName>
    <definedName name="CRIFT2198">#REF!</definedName>
    <definedName name="CRIFT2199" localSheetId="7">[4]CONTROL!$A$326:$E$327</definedName>
    <definedName name="CRIFT2199" localSheetId="11">#REF!</definedName>
    <definedName name="CRIFT2199" localSheetId="12">[4]CONTROL!$A$326:$E$327</definedName>
    <definedName name="CRIFT2199">#REF!</definedName>
    <definedName name="CRIFT2295" localSheetId="7">[4]CONTROL!$A$288:$E$289</definedName>
    <definedName name="CRIFT2295" localSheetId="11">#REF!</definedName>
    <definedName name="CRIFT2295" localSheetId="12">[4]CONTROL!$A$288:$E$289</definedName>
    <definedName name="CRIFT2295">#REF!</definedName>
    <definedName name="CRIFT2296" localSheetId="7">[4]CONTROL!$A$298:$E$299</definedName>
    <definedName name="CRIFT2296" localSheetId="11">#REF!</definedName>
    <definedName name="CRIFT2296" localSheetId="12">[4]CONTROL!$A$298:$E$299</definedName>
    <definedName name="CRIFT2296">#REF!</definedName>
    <definedName name="CRIFT2297" localSheetId="7">[4]CONTROL!$A$308:$E$309</definedName>
    <definedName name="CRIFT2297" localSheetId="11">#REF!</definedName>
    <definedName name="CRIFT2297" localSheetId="12">[4]CONTROL!$A$308:$E$309</definedName>
    <definedName name="CRIFT2297">#REF!</definedName>
    <definedName name="CRIFT2298" localSheetId="7">[4]CONTROL!$A$318:$E$319</definedName>
    <definedName name="CRIFT2298" localSheetId="11">#REF!</definedName>
    <definedName name="CRIFT2298" localSheetId="12">[4]CONTROL!$A$318:$E$319</definedName>
    <definedName name="CRIFT2298">#REF!</definedName>
    <definedName name="CRIFT2299" localSheetId="7">[4]CONTROL!$A$328:$E$329</definedName>
    <definedName name="CRIFT2299" localSheetId="11">#REF!</definedName>
    <definedName name="CRIFT2299" localSheetId="12">[4]CONTROL!$A$328:$E$329</definedName>
    <definedName name="CRIFT2299">#REF!</definedName>
    <definedName name="crimir00ae" localSheetId="7">[4]CONTROL!$A$337:$E$338</definedName>
    <definedName name="crimir00ae" localSheetId="11">#REF!</definedName>
    <definedName name="crimir00ae" localSheetId="12">[4]CONTROL!$A$337:$E$338</definedName>
    <definedName name="crimir00ae">#REF!</definedName>
    <definedName name="crimir00ap" localSheetId="7">[4]CONTROL!$A$348:$E$349</definedName>
    <definedName name="crimir00ap" localSheetId="11">#REF!</definedName>
    <definedName name="crimir00ap" localSheetId="12">[4]CONTROL!$A$348:$E$349</definedName>
    <definedName name="crimir00ap">#REF!</definedName>
    <definedName name="crimir01ae" localSheetId="7">[4]CONTROL!$A$339:$E$340</definedName>
    <definedName name="crimir01ae" localSheetId="11">#REF!</definedName>
    <definedName name="crimir01ae" localSheetId="12">[4]CONTROL!$A$339:$E$340</definedName>
    <definedName name="crimir01ae">#REF!</definedName>
    <definedName name="crimir01ap" localSheetId="7">[4]CONTROL!$A$350:$E$351</definedName>
    <definedName name="crimir01ap" localSheetId="11">#REF!</definedName>
    <definedName name="crimir01ap" localSheetId="12">[4]CONTROL!$A$350:$E$351</definedName>
    <definedName name="crimir01ap">#REF!</definedName>
    <definedName name="crimir97ae" localSheetId="7">[4]CONTROL!$A$331:$E$332</definedName>
    <definedName name="crimir97ae" localSheetId="11">#REF!</definedName>
    <definedName name="crimir97ae" localSheetId="12">[4]CONTROL!$A$331:$E$332</definedName>
    <definedName name="crimir97ae">#REF!</definedName>
    <definedName name="crimir97ap" localSheetId="7">[4]CONTROL!$A$342:$E$343</definedName>
    <definedName name="crimir97ap" localSheetId="11">#REF!</definedName>
    <definedName name="crimir97ap" localSheetId="12">[4]CONTROL!$A$342:$E$343</definedName>
    <definedName name="crimir97ap">#REF!</definedName>
    <definedName name="crimir98ae" localSheetId="7">[4]CONTROL!$A$333:$E$334</definedName>
    <definedName name="crimir98ae" localSheetId="11">#REF!</definedName>
    <definedName name="crimir98ae" localSheetId="12">[4]CONTROL!$A$333:$E$334</definedName>
    <definedName name="crimir98ae">#REF!</definedName>
    <definedName name="crimir98ap" localSheetId="7">[4]CONTROL!$A$344:$E$345</definedName>
    <definedName name="crimir98ap" localSheetId="11">#REF!</definedName>
    <definedName name="crimir98ap" localSheetId="12">[4]CONTROL!$A$344:$E$345</definedName>
    <definedName name="crimir98ap">#REF!</definedName>
    <definedName name="crimir99ae" localSheetId="7">[4]CONTROL!$A$335:$E$336</definedName>
    <definedName name="crimir99ae" localSheetId="11">#REF!</definedName>
    <definedName name="crimir99ae" localSheetId="12">[4]CONTROL!$A$335:$E$336</definedName>
    <definedName name="crimir99ae">#REF!</definedName>
    <definedName name="crimir99ap" localSheetId="7">[4]CONTROL!$A$346:$E$347</definedName>
    <definedName name="crimir99ap" localSheetId="11">#REF!</definedName>
    <definedName name="crimir99ap" localSheetId="12">[4]CONTROL!$A$346:$E$347</definedName>
    <definedName name="crimir99ap">#REF!</definedName>
    <definedName name="_xlnm.Criteria">#REF!</definedName>
    <definedName name="Criterios_CRT">#REF!</definedName>
    <definedName name="Criterios_I">#REF!</definedName>
    <definedName name="Criterios_RG">#REF!</definedName>
    <definedName name="Criterios_RI">#REF!</definedName>
    <definedName name="Criterios2">#REF!</definedName>
    <definedName name="CriteriosCRT">#REF!</definedName>
    <definedName name="CriteriosRI">#REF!</definedName>
    <definedName name="CRMAP">#REF!</definedName>
    <definedName name="CRMAT">#REF!</definedName>
    <definedName name="CRMAV">#REF!</definedName>
    <definedName name="CRMAZ">#REF!</definedName>
    <definedName name="CRMDAZ">#REF!</definedName>
    <definedName name="CRMDETAP">#REF!</definedName>
    <definedName name="CRMDETAT">#REF!</definedName>
    <definedName name="CRMDETAV">#REF!</definedName>
    <definedName name="CRMDETTRP">#REF!</definedName>
    <definedName name="CRMDETTRT">#REF!</definedName>
    <definedName name="CRMDETTRV">#REF!</definedName>
    <definedName name="CRMDTZ">#REF!</definedName>
    <definedName name="CRMTRP">#REF!</definedName>
    <definedName name="CRMTRT">#REF!</definedName>
    <definedName name="CRMTRV">#REF!</definedName>
    <definedName name="CRMTZ">#REF!</definedName>
    <definedName name="Crystal_1_1_WEBI_DataGrid" hidden="1">#REF!</definedName>
    <definedName name="Crystal_1_1_WEBI_HHeading" hidden="1">#REF!</definedName>
    <definedName name="Crystal_1_1_WEBI_ReportCrossTab" hidden="1">#REF!</definedName>
    <definedName name="Crystal_1_1_WEBI_Space" hidden="1">#REF!</definedName>
    <definedName name="Crystal_1_1_WEBI_VHeading" hidden="1">#REF!</definedName>
    <definedName name="CSdmx">#REF!</definedName>
    <definedName name="CUA">#REF!</definedName>
    <definedName name="CUADRO7">#REF!</definedName>
    <definedName name="CUADRO8">#REF!</definedName>
    <definedName name="cw">#REF!</definedName>
    <definedName name="Cwvu.a.">#REF!,#REF!,#REF!,#REF!,#REF!,#REF!</definedName>
    <definedName name="Cwvu.bop.">#REF!,#REF!,#REF!,#REF!,#REF!,#REF!</definedName>
    <definedName name="Cwvu.bop.sr.">#REF!,#REF!,#REF!,#REF!,#REF!,#REF!</definedName>
    <definedName name="Cwvu.bopsdr.sr.">#REF!,#REF!,#REF!,#REF!,#REF!,#REF!</definedName>
    <definedName name="Cwvu.cotton.">#REF!,#REF!,#REF!,#REF!,#REF!,#REF!,#REF!,#REF!</definedName>
    <definedName name="Cwvu.cottonall.">#REF!,#REF!,#REF!,#REF!,#REF!,#REF!,#REF!</definedName>
    <definedName name="Cwvu.exportdetails.">#REF!,#REF!,#REF!,#REF!,#REF!,#REF!,#REF!</definedName>
    <definedName name="Cwvu.exports.">#REF!,#REF!,#REF!,#REF!,#REF!,#REF!,#REF!,#REF!</definedName>
    <definedName name="Cwvu.gold.">#REF!,#REF!,#REF!,#REF!,#REF!,#REF!,#REF!,#REF!</definedName>
    <definedName name="Cwvu.goldall.">#REF!,#REF!,#REF!,#REF!,#REF!,#REF!,#REF!,#REF!</definedName>
    <definedName name="Cwvu.IMPORT.">#REF!</definedName>
    <definedName name="Cwvu.imports.">#REF!,#REF!,#REF!,#REF!,#REF!,#REF!,#REF!,#REF!,#REF!</definedName>
    <definedName name="Cwvu.importsall.">#REF!,#REF!,#REF!,#REF!,#REF!,#REF!,#REF!,#REF!,#REF!</definedName>
    <definedName name="Cwvu.Print.">#REF!,#REF!,#REF!,#REF!</definedName>
    <definedName name="Cwvu.sa97." hidden="1">#REF!,#REF!</definedName>
    <definedName name="Cwvu.tot.">#REF!,#REF!,#REF!,#REF!,#REF!,#REF!</definedName>
    <definedName name="czv">#REF!</definedName>
    <definedName name="d" hidden="1">#REF!</definedName>
    <definedName name="D.42_45RS.2">OFFSET(#REF!,1,0,#REF!)</definedName>
    <definedName name="D.42_45RS.2_SA">OFFSET(#REF!,1,0,#REF!)</definedName>
    <definedName name="D_GRL">#REF!</definedName>
    <definedName name="D_TWN">#REF!</definedName>
    <definedName name="DA">#REF!</definedName>
    <definedName name="date">#REF!</definedName>
    <definedName name="DATOS">#REF!</definedName>
    <definedName name="db">#REF!</definedName>
    <definedName name="DBE">#REF!</definedName>
    <definedName name="dd" hidden="1">#REF!</definedName>
    <definedName name="ddd" localSheetId="6">{"Riqfin97",#N/A,FALSE,"Tran";"Riqfinpro",#N/A,FALSE,"Tran"}</definedName>
    <definedName name="ddd" localSheetId="11">{"Riqfin97",#N/A,FALSE,"Tran";"Riqfinpro",#N/A,FALSE,"Tran"}</definedName>
    <definedName name="ddd">{"Riqfin97",#N/A,FALSE,"Tran";"Riqfinpro",#N/A,FALSE,"Tran"}</definedName>
    <definedName name="dddd" localSheetId="6">{"Minpmon",#N/A,FALSE,"Monthinput"}</definedName>
    <definedName name="dddd" localSheetId="11">{"Minpmon",#N/A,FALSE,"Monthinput"}</definedName>
    <definedName name="dddd">{"Minpmon",#N/A,FALSE,"Monthinput"}</definedName>
    <definedName name="ddddd" localSheetId="6">{"Riqfin97",#N/A,FALSE,"Tran";"Riqfinpro",#N/A,FALSE,"Tran"}</definedName>
    <definedName name="ddddd" localSheetId="11">{"Riqfin97",#N/A,FALSE,"Tran";"Riqfinpro",#N/A,FALSE,"Tran"}</definedName>
    <definedName name="ddddd">{"Riqfin97",#N/A,FALSE,"Tran";"Riqfinpro",#N/A,FALSE,"Tran"}</definedName>
    <definedName name="dddddd" localSheetId="6">{"Tab1",#N/A,FALSE,"P";"Tab2",#N/A,FALSE,"P"}</definedName>
    <definedName name="dddddd" localSheetId="11">{"Tab1",#N/A,FALSE,"P";"Tab2",#N/A,FALSE,"P"}</definedName>
    <definedName name="dddddd">{"Tab1",#N/A,FALSE,"P";"Tab2",#N/A,FALSE,"P"}</definedName>
    <definedName name="dddddf">#REF!</definedName>
    <definedName name="ddwde">#REF!</definedName>
    <definedName name="delegacion">#REF!</definedName>
    <definedName name="der" localSheetId="6">{"Tab1",#N/A,FALSE,"P";"Tab2",#N/A,FALSE,"P"}</definedName>
    <definedName name="der" localSheetId="11">{"Tab1",#N/A,FALSE,"P";"Tab2",#N/A,FALSE,"P"}</definedName>
    <definedName name="der">{"Tab1",#N/A,FALSE,"P";"Tab2",#N/A,FALSE,"P"}</definedName>
    <definedName name="df" hidden="1">#REF!</definedName>
    <definedName name="dfdf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e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G">#REF!</definedName>
    <definedName name="dhdh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ME_Dirty" hidden="1">"False"</definedName>
    <definedName name="DME_LocalFile" hidden="1">"True"</definedName>
    <definedName name="DOS">#REF!</definedName>
    <definedName name="DRE_Teixeira1" localSheetId="6" hidden="1">{#N/A,#N/A,FALSE,"model"}</definedName>
    <definedName name="DRE_Teixeira1" localSheetId="11" hidden="1">{#N/A,#N/A,FALSE,"model"}</definedName>
    <definedName name="DRE_Teixeira1" hidden="1">{#N/A,#N/A,FALSE,"model"}</definedName>
    <definedName name="DRE_Teixeira2" localSheetId="6" hidden="1">{#N/A,#N/A,FALSE,"model"}</definedName>
    <definedName name="DRE_Teixeira2" localSheetId="11" hidden="1">{#N/A,#N/A,FALSE,"model"}</definedName>
    <definedName name="DRE_Teixeira2" hidden="1">{#N/A,#N/A,FALSE,"model"}</definedName>
    <definedName name="drth" localSheetId="6">{"Minpmon",#N/A,FALSE,"Monthinput"}</definedName>
    <definedName name="drth" localSheetId="11">{"Minpmon",#N/A,FALSE,"Monthinput"}</definedName>
    <definedName name="drth">{"Minpmon",#N/A,FALSE,"Monthinput"}</definedName>
    <definedName name="DRW" localSheetId="6" hidden="1">{#N/A,#N/A,FALSE,"model"}</definedName>
    <definedName name="DRW" localSheetId="11" hidden="1">{#N/A,#N/A,FALSE,"model"}</definedName>
    <definedName name="DRW" hidden="1">{#N/A,#N/A,FALSE,"model"}</definedName>
    <definedName name="dsa" localSheetId="6">{"Tab1",#N/A,FALSE,"P";"Tab2",#N/A,FALSE,"P"}</definedName>
    <definedName name="dsa" localSheetId="11">{"Tab1",#N/A,FALSE,"P";"Tab2",#N/A,FALSE,"P"}</definedName>
    <definedName name="dsa">{"Tab1",#N/A,FALSE,"P";"Tab2",#N/A,FALSE,"P"}</definedName>
    <definedName name="dsdf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ear" hidden="1">#REF!</definedName>
    <definedName name="EBE">#REF!</definedName>
    <definedName name="edr" localSheetId="6">{"Riqfin97",#N/A,FALSE,"Tran";"Riqfinpro",#N/A,FALSE,"Tran"}</definedName>
    <definedName name="edr" localSheetId="11">{"Riqfin97",#N/A,FALSE,"Tran";"Riqfinpro",#N/A,FALSE,"Tran"}</definedName>
    <definedName name="edr">{"Riqfin97",#N/A,FALSE,"Tran";"Riqfinpro",#N/A,FALSE,"Tran"}</definedName>
    <definedName name="ee" localSheetId="6">{"Tab1",#N/A,FALSE,"P";"Tab2",#N/A,FALSE,"P"}</definedName>
    <definedName name="ee" localSheetId="11">{"Tab1",#N/A,FALSE,"P";"Tab2",#N/A,FALSE,"P"}</definedName>
    <definedName name="ee">{"Tab1",#N/A,FALSE,"P";"Tab2",#N/A,FALSE,"P"}</definedName>
    <definedName name="eee" localSheetId="6">{"Tab1",#N/A,FALSE,"P";"Tab2",#N/A,FALSE,"P"}</definedName>
    <definedName name="eee" localSheetId="11">{"Tab1",#N/A,FALSE,"P";"Tab2",#N/A,FALSE,"P"}</definedName>
    <definedName name="eee">{"Tab1",#N/A,FALSE,"P";"Tab2",#N/A,FALSE,"P"}</definedName>
    <definedName name="eeee" localSheetId="6">{"Riqfin97",#N/A,FALSE,"Tran";"Riqfinpro",#N/A,FALSE,"Tran"}</definedName>
    <definedName name="eeee" localSheetId="11">{"Riqfin97",#N/A,FALSE,"Tran";"Riqfinpro",#N/A,FALSE,"Tran"}</definedName>
    <definedName name="eeee">{"Riqfin97",#N/A,FALSE,"Tran";"Riqfinpro",#N/A,FALSE,"Tran"}</definedName>
    <definedName name="eeeee" localSheetId="6">{"Riqfin97",#N/A,FALSE,"Tran";"Riqfinpro",#N/A,FALSE,"Tran"}</definedName>
    <definedName name="eeeee" localSheetId="11">{"Riqfin97",#N/A,FALSE,"Tran";"Riqfinpro",#N/A,FALSE,"Tran"}</definedName>
    <definedName name="eeeee">{"Riqfin97",#N/A,FALSE,"Tran";"Riqfinpro",#N/A,FALSE,"Tran"}</definedName>
    <definedName name="EFSUST">#REF!</definedName>
    <definedName name="eje_desestac">OFFSET(#REF!,1,0,#REF!)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nda">#REF!</definedName>
    <definedName name="enda1r">#REF!</definedName>
    <definedName name="EnPpto">#REF!</definedName>
    <definedName name="EPA_inercial" localSheetId="6" hidden="1">{"Mobiliario",#N/A,FALSE,"C. mobiliario";"Trabajo",#N/A,FALSE,"C. mobiliario"}</definedName>
    <definedName name="EPA_inercial" localSheetId="11" hidden="1">{"Mobiliario",#N/A,FALSE,"C. mobiliario";"Trabajo",#N/A,FALSE,"C. mobiliario"}</definedName>
    <definedName name="EPA_inercial" hidden="1">{"Mobiliario",#N/A,FALSE,"C. mobiliario";"Trabajo",#N/A,FALSE,"C. mobiliario"}</definedName>
    <definedName name="ergferger" localSheetId="6">{"Main Economic Indicators",#N/A,FALSE,"C"}</definedName>
    <definedName name="ergferger" localSheetId="11">{"Main Economic Indicators",#N/A,FALSE,"C"}</definedName>
    <definedName name="ergferger">{"Main Economic Indicators",#N/A,FALSE,"C"}</definedName>
    <definedName name="ernesto">#N/A</definedName>
    <definedName name="ert" localSheetId="6">{"Minpmon",#N/A,FALSE,"Monthinput"}</definedName>
    <definedName name="ert" localSheetId="11">{"Minpmon",#N/A,FALSE,"Monthinput"}</definedName>
    <definedName name="ert">{"Minpmon",#N/A,FALSE,"Monthinput"}</definedName>
    <definedName name="erty" localSheetId="6">{"Riqfin97",#N/A,FALSE,"Tran";"Riqfinpro",#N/A,FALSE,"Tran"}</definedName>
    <definedName name="erty" localSheetId="11">{"Riqfin97",#N/A,FALSE,"Tran";"Riqfinpro",#N/A,FALSE,"Tran"}</definedName>
    <definedName name="erty">{"Riqfin97",#N/A,FALSE,"Tran";"Riqfinpro",#N/A,FALSE,"Tran"}</definedName>
    <definedName name="ertyyeawet">#REF!</definedName>
    <definedName name="erwre" localSheetId="6" hidden="1">{"'Resources'!$A$1:$W$34","'Balance Sheet'!$A$1:$W$58","'SFD'!$A$1:$J$52"}</definedName>
    <definedName name="erwre" localSheetId="11" hidden="1">{"'Resources'!$A$1:$W$34","'Balance Sheet'!$A$1:$W$58","'SFD'!$A$1:$J$52"}</definedName>
    <definedName name="erwre" hidden="1">{"'Resources'!$A$1:$W$34","'Balance Sheet'!$A$1:$W$58","'SFD'!$A$1:$J$52"}</definedName>
    <definedName name="est2d99">#REF!</definedName>
    <definedName name="est2dap">#REF!</definedName>
    <definedName name="est2i99">#REF!</definedName>
    <definedName name="estrucbe">#REF!</definedName>
    <definedName name="EUR_GTO_ACTIVOS">#REF!</definedName>
    <definedName name="EUR_GTO_PENSIONISTAS">#REF!</definedName>
    <definedName name="EUR_GTO_TOTAL">#REF!</definedName>
    <definedName name="ev">#REF!</definedName>
    <definedName name="EV__LASTREFTIME__" hidden="1">40918.5538310185</definedName>
    <definedName name="ewqr">#REF!</definedName>
    <definedName name="ey">#REF!</definedName>
    <definedName name="FAMERangeexchebAD12">#REF!</definedName>
    <definedName name="FAMERangeirsAD12">#REF!</definedName>
    <definedName name="FAMERangeMGSV">#REF!</definedName>
    <definedName name="FAMERangeMGSVAB10">#REF!</definedName>
    <definedName name="FAMERangeMGSVAB11">#REF!</definedName>
    <definedName name="FAMERangeMGSVAB12">#REF!</definedName>
    <definedName name="FAMERangeMGSVAB13">#REF!</definedName>
    <definedName name="FAMERangeMGSVAB14">#REF!</definedName>
    <definedName name="FAMERangeMGSVAB15">#REF!</definedName>
    <definedName name="FAMERangeMGSVAB16">#REF!</definedName>
    <definedName name="FAMERangeMGSVAB17">#REF!</definedName>
    <definedName name="FAMERangeMGSVAB18">#REF!</definedName>
    <definedName name="FAMERangeMGSVAB19">#REF!</definedName>
    <definedName name="FAMERangeMGSVAB20">#REF!</definedName>
    <definedName name="FAMERangeMGSVAB21">#REF!</definedName>
    <definedName name="FAMERangeMGSVAB22">#REF!</definedName>
    <definedName name="FAMERangeMGSVAB23">#REF!</definedName>
    <definedName name="FAMERangeMGSVAB24">#REF!</definedName>
    <definedName name="FAMERangeMGSVAB25">#REF!</definedName>
    <definedName name="FAMERangeMGSVAB26">#REF!</definedName>
    <definedName name="FAMERangeMGSVAB27">#REF!</definedName>
    <definedName name="FAMERangeMGSVAB28">#REF!</definedName>
    <definedName name="FAMERangeMGSVAB29">#REF!</definedName>
    <definedName name="FAMERangeMGSVAB30">#REF!</definedName>
    <definedName name="FAMERangeMGSVAB31">#REF!</definedName>
    <definedName name="FAMERangeMGSVAB32">#REF!</definedName>
    <definedName name="FAMERangeMGSVAB33">#REF!</definedName>
    <definedName name="FAMERangeMGSVAB34">#REF!</definedName>
    <definedName name="FAMERangeMGSVAB35">#REF!</definedName>
    <definedName name="FAMERangeMGSVAB36">#REF!</definedName>
    <definedName name="FAMERangeMGSVAB38">#REF!</definedName>
    <definedName name="FAMERangeMGSVAB5">#REF!</definedName>
    <definedName name="FAMERangeMGSVAB6">#REF!</definedName>
    <definedName name="FAMERangeMGSVAB7">#REF!</definedName>
    <definedName name="FAMERangeMGSVAB8">#REF!</definedName>
    <definedName name="FAMERangeMGSVAB9">#REF!</definedName>
    <definedName name="FAMERangeMGSVAC10">#REF!</definedName>
    <definedName name="FAMERangeMGSVAC11">#REF!</definedName>
    <definedName name="FAMERangeMGSVAC12">#REF!</definedName>
    <definedName name="FAMERangeMGSVAC13">#REF!</definedName>
    <definedName name="FAMERangeMGSVAC14">#REF!</definedName>
    <definedName name="FAMERangeMGSVAC15">#REF!</definedName>
    <definedName name="FAMERangeMGSVAC16">#REF!</definedName>
    <definedName name="FAMERangeMGSVAC17">#REF!</definedName>
    <definedName name="FAMERangeMGSVAC18">#REF!</definedName>
    <definedName name="FAMERangeMGSVAC19">#REF!</definedName>
    <definedName name="FAMERangeMGSVAC20">#REF!</definedName>
    <definedName name="FAMERangeMGSVAC21">#REF!</definedName>
    <definedName name="FAMERangeMGSVAC22">#REF!</definedName>
    <definedName name="FAMERangeMGSVAC23">#REF!</definedName>
    <definedName name="FAMERangeMGSVAC24">#REF!</definedName>
    <definedName name="FAMERangeMGSVAC25">#REF!</definedName>
    <definedName name="FAMERangeMGSVAC26">#REF!</definedName>
    <definedName name="FAMERangeMGSVAC27">#REF!</definedName>
    <definedName name="FAMERangeMGSVAC28">#REF!</definedName>
    <definedName name="FAMERangeMGSVAC29">#REF!</definedName>
    <definedName name="FAMERangeMGSVAC30">#REF!</definedName>
    <definedName name="FAMERangeMGSVAC31">#REF!</definedName>
    <definedName name="FAMERangeMGSVAC32">#REF!</definedName>
    <definedName name="FAMERangeMGSVAC33">#REF!</definedName>
    <definedName name="FAMERangeMGSVAC34">#REF!</definedName>
    <definedName name="FAMERangeMGSVAC35">#REF!</definedName>
    <definedName name="FAMERangeMGSVAC36">#REF!</definedName>
    <definedName name="FAMERangeMGSVAC38">#REF!</definedName>
    <definedName name="FAMERangeMGSVAC5">#REF!</definedName>
    <definedName name="FAMERangeMGSVAC6">#REF!</definedName>
    <definedName name="FAMERangeMGSVAC7">#REF!</definedName>
    <definedName name="FAMERangeMGSVAC8">#REF!</definedName>
    <definedName name="FAMERangeMGSVAC9">#REF!</definedName>
    <definedName name="FAMERangeMGSVAD10">#REF!</definedName>
    <definedName name="FAMERangeMGSVAD11">#REF!</definedName>
    <definedName name="FAMERangeMGSVAD12">#REF!</definedName>
    <definedName name="FAMERangeMGSVAD13">#REF!</definedName>
    <definedName name="FAMERangeMGSVAD14">#REF!</definedName>
    <definedName name="FAMERangeMGSVAD15">#REF!</definedName>
    <definedName name="FAMERangeMGSVAD16">#REF!</definedName>
    <definedName name="FAMERangeMGSVAD17">#REF!</definedName>
    <definedName name="FAMERangeMGSVAD18">#REF!</definedName>
    <definedName name="FAMERangeMGSVAD19">#REF!</definedName>
    <definedName name="FAMERangeMGSVAD20">#REF!</definedName>
    <definedName name="FAMERangeMGSVAD21">#REF!</definedName>
    <definedName name="FAMERangeMGSVAD22">#REF!</definedName>
    <definedName name="FAMERangeMGSVAD23">#REF!</definedName>
    <definedName name="FAMERangeMGSVAD24">#REF!</definedName>
    <definedName name="FAMERangeMGSVAD25">#REF!</definedName>
    <definedName name="FAMERangeMGSVAD26">#REF!</definedName>
    <definedName name="FAMERangeMGSVAD27">#REF!</definedName>
    <definedName name="FAMERangeMGSVAD28">#REF!</definedName>
    <definedName name="FAMERangeMGSVAD29">#REF!</definedName>
    <definedName name="FAMERangeMGSVAD30">#REF!</definedName>
    <definedName name="FAMERangeMGSVAD31">#REF!</definedName>
    <definedName name="FAMERangeMGSVAD32">#REF!</definedName>
    <definedName name="FAMERangeMGSVAD33">#REF!</definedName>
    <definedName name="FAMERangeMGSVAD34">#REF!</definedName>
    <definedName name="FAMERangeMGSVAD35">#REF!</definedName>
    <definedName name="FAMERangeMGSVAD36">#REF!</definedName>
    <definedName name="FAMERangeMGSVAD38">#REF!</definedName>
    <definedName name="FAMERangeMGSVAD5">#REF!</definedName>
    <definedName name="FAMERangeMGSVAD6">#REF!</definedName>
    <definedName name="FAMERangeMGSVAD7">#REF!</definedName>
    <definedName name="FAMERangeMGSVAD8">#REF!</definedName>
    <definedName name="FAMERangeMGSVAD9">#REF!</definedName>
    <definedName name="FBE">#REF!</definedName>
    <definedName name="fdv" hidden="1">#REF!</definedName>
    <definedName name="Fechaaño">#REF!</definedName>
    <definedName name="Fechames">#REF!</definedName>
    <definedName name="fed" localSheetId="6">{"Riqfin97",#N/A,FALSE,"Tran";"Riqfinpro",#N/A,FALSE,"Tran"}</definedName>
    <definedName name="fed" localSheetId="11">{"Riqfin97",#N/A,FALSE,"Tran";"Riqfinpro",#N/A,FALSE,"Tran"}</definedName>
    <definedName name="fed">{"Riqfin97",#N/A,FALSE,"Tran";"Riqfinpro",#N/A,FALSE,"Tran"}</definedName>
    <definedName name="FEH">#REF!</definedName>
    <definedName name="fer" localSheetId="6">{"Riqfin97",#N/A,FALSE,"Tran";"Riqfinpro",#N/A,FALSE,"Tran"}</definedName>
    <definedName name="fer" localSheetId="11">{"Riqfin97",#N/A,FALSE,"Tran";"Riqfinpro",#N/A,FALSE,"Tran"}</definedName>
    <definedName name="fer">{"Riqfin97",#N/A,FALSE,"Tran";"Riqfinpro",#N/A,FALSE,"Tran"}</definedName>
    <definedName name="ff" localSheetId="6">{"Tab1",#N/A,FALSE,"P";"Tab2",#N/A,FALSE,"P"}</definedName>
    <definedName name="ff" localSheetId="11">{"Tab1",#N/A,FALSE,"P";"Tab2",#N/A,FALSE,"P"}</definedName>
    <definedName name="ff">{"Tab1",#N/A,FALSE,"P";"Tab2",#N/A,FALSE,"P"}</definedName>
    <definedName name="fff" localSheetId="6">{"Tab1",#N/A,FALSE,"P";"Tab2",#N/A,FALSE,"P"}</definedName>
    <definedName name="fff" localSheetId="11">{"Tab1",#N/A,FALSE,"P";"Tab2",#N/A,FALSE,"P"}</definedName>
    <definedName name="fff">{"Tab1",#N/A,FALSE,"P";"Tab2",#N/A,FALSE,"P"}</definedName>
    <definedName name="ffff" localSheetId="6">{"Riqfin97",#N/A,FALSE,"Tran";"Riqfinpro",#N/A,FALSE,"Tran"}</definedName>
    <definedName name="ffff" localSheetId="11">{"Riqfin97",#N/A,FALSE,"Tran";"Riqfinpro",#N/A,FALSE,"Tran"}</definedName>
    <definedName name="ffff">{"Riqfin97",#N/A,FALSE,"Tran";"Riqfinpro",#N/A,FALSE,"Tran"}</definedName>
    <definedName name="ffffff" localSheetId="6">{"Tab1",#N/A,FALSE,"P";"Tab2",#N/A,FALSE,"P"}</definedName>
    <definedName name="ffffff" localSheetId="11">{"Tab1",#N/A,FALSE,"P";"Tab2",#N/A,FALSE,"P"}</definedName>
    <definedName name="ffffff">{"Tab1",#N/A,FALSE,"P";"Tab2",#N/A,FALSE,"P"}</definedName>
    <definedName name="fffffff" localSheetId="6">{"Minpmon",#N/A,FALSE,"Monthinput"}</definedName>
    <definedName name="fffffff" localSheetId="11">{"Minpmon",#N/A,FALSE,"Monthinput"}</definedName>
    <definedName name="fffffff">{"Minpmon",#N/A,FALSE,"Monthinput"}</definedName>
    <definedName name="ffffffffff" localSheetId="6" hidden="1">{#N/A,#N/A,FALSE,"PERSONAL";#N/A,#N/A,FALSE,"explotación";#N/A,#N/A,FALSE,"generales"}</definedName>
    <definedName name="ffffffffff" localSheetId="11" hidden="1">{#N/A,#N/A,FALSE,"PERSONAL";#N/A,#N/A,FALSE,"explotación";#N/A,#N/A,FALSE,"generales"}</definedName>
    <definedName name="ffffffffff" hidden="1">{#N/A,#N/A,FALSE,"PERSONAL";#N/A,#N/A,FALSE,"explotación";#N/A,#N/A,FALSE,"generales"}</definedName>
    <definedName name="FFFFFFFFFFF" localSheetId="6" hidden="1">{#N/A,#N/A,FALSE,"model"}</definedName>
    <definedName name="FFFFFFFFFFF" localSheetId="11" hidden="1">{#N/A,#N/A,FALSE,"model"}</definedName>
    <definedName name="FFFFFFFFFFF" hidden="1">{#N/A,#N/A,FALSE,"model"}</definedName>
    <definedName name="ffggg" localSheetId="6">{"Tab1",#N/A,FALSE,"P";"Tab2",#N/A,FALSE,"P"}</definedName>
    <definedName name="ffggg" localSheetId="11">{"Tab1",#N/A,FALSE,"P";"Tab2",#N/A,FALSE,"P"}</definedName>
    <definedName name="ffggg">{"Tab1",#N/A,FALSE,"P";"Tab2",#N/A,FALSE,"P"}</definedName>
    <definedName name="fgf" localSheetId="6">{"Riqfin97",#N/A,FALSE,"Tran";"Riqfinpro",#N/A,FALSE,"Tran"}</definedName>
    <definedName name="fgf" localSheetId="11">{"Riqfin97",#N/A,FALSE,"Tran";"Riqfinpro",#N/A,FALSE,"Tran"}</definedName>
    <definedName name="fgf">{"Riqfin97",#N/A,FALSE,"Tran";"Riqfinpro",#N/A,FALSE,"Tran"}</definedName>
    <definedName name="FGHDE" localSheetId="6" hidden="1">{#N/A,#N/A,FALSE,"PERSONAL";#N/A,#N/A,FALSE,"explotación";#N/A,#N/A,FALSE,"generales"}</definedName>
    <definedName name="FGHDE" localSheetId="11" hidden="1">{#N/A,#N/A,FALSE,"PERSONAL";#N/A,#N/A,FALSE,"explotación";#N/A,#N/A,FALSE,"generales"}</definedName>
    <definedName name="FGHDE" hidden="1">{#N/A,#N/A,FALSE,"PERSONAL";#N/A,#N/A,FALSE,"explotación";#N/A,#N/A,FALSE,"generales"}</definedName>
    <definedName name="fhjekwf" localSheetId="6" hidden="1">{"Main Economic Indicators",#N/A,FALSE,"C"}</definedName>
    <definedName name="fhjekwf" localSheetId="11" hidden="1">{"Main Economic Indicators",#N/A,FALSE,"C"}</definedName>
    <definedName name="fhjekwf" hidden="1">{"Main Economic Indicators",#N/A,FALSE,"C"}</definedName>
    <definedName name="FIG2wp1">#REF!</definedName>
    <definedName name="Financing" localSheetId="6">{"Tab1",#N/A,FALSE,"P";"Tab2",#N/A,FALSE,"P"}</definedName>
    <definedName name="Financing" localSheetId="11">{"Tab1",#N/A,FALSE,"P";"Tab2",#N/A,FALSE,"P"}</definedName>
    <definedName name="Financing">{"Tab1",#N/A,FALSE,"P";"Tab2",#N/A,FALSE,"P"}</definedName>
    <definedName name="fiscal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lows_print_area">#REF!</definedName>
    <definedName name="FORMULAS">#REF!</definedName>
    <definedName name="FORMULAS_ABSOLU">#REF!</definedName>
    <definedName name="FORMULAS_RELATI">#REF!</definedName>
    <definedName name="fre" localSheetId="6">{"Tab1",#N/A,FALSE,"P";"Tab2",#N/A,FALSE,"P"}</definedName>
    <definedName name="fre" localSheetId="11">{"Tab1",#N/A,FALSE,"P";"Tab2",#N/A,FALSE,"P"}</definedName>
    <definedName name="fre">{"Tab1",#N/A,FALSE,"P";"Tab2",#N/A,FALSE,"P"}</definedName>
    <definedName name="fshrts">#REF!</definedName>
    <definedName name="ftr" localSheetId="6">{"Riqfin97",#N/A,FALSE,"Tran";"Riqfinpro",#N/A,FALSE,"Tran"}</definedName>
    <definedName name="ftr" localSheetId="11">{"Riqfin97",#N/A,FALSE,"Tran";"Riqfinpro",#N/A,FALSE,"Tran"}</definedName>
    <definedName name="ftr">{"Riqfin97",#N/A,FALSE,"Tran";"Riqfinpro",#N/A,FALSE,"Tran"}</definedName>
    <definedName name="fty" localSheetId="6">{"Riqfin97",#N/A,FALSE,"Tran";"Riqfinpro",#N/A,FALSE,"Tran"}</definedName>
    <definedName name="fty" localSheetId="11">{"Riqfin97",#N/A,FALSE,"Tran";"Riqfinpro",#N/A,FALSE,"Tran"}</definedName>
    <definedName name="fty">{"Riqfin97",#N/A,FALSE,"Tran";"Riqfinpro",#N/A,FALSE,"Tran"}</definedName>
    <definedName name="fuck">#REF!</definedName>
    <definedName name="fvgf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G_1">#REF!</definedName>
    <definedName name="G_Capitulo">#REF!</definedName>
    <definedName name="G_IInuevo">#REF!</definedName>
    <definedName name="G_Inuevo">#REF!</definedName>
    <definedName name="G_IVnuevo">#REF!</definedName>
    <definedName name="GastoIngreso">#REF!</definedName>
    <definedName name="GASTOS">#REF!</definedName>
    <definedName name="GBE">#REF!</definedName>
    <definedName name="gbnj" localSheetId="6">{"Tab1",#N/A,FALSE,"P";"Tab2",#N/A,FALSE,"P"}</definedName>
    <definedName name="gbnj" localSheetId="11">{"Tab1",#N/A,FALSE,"P";"Tab2",#N/A,FALSE,"P"}</definedName>
    <definedName name="gbnj">{"Tab1",#N/A,FALSE,"P";"Tab2",#N/A,FALSE,"P"}</definedName>
    <definedName name="gffd" localSheetId="6">{"Riqfin97",#N/A,FALSE,"Tran";"Riqfinpro",#N/A,FALSE,"Tran"}</definedName>
    <definedName name="gffd" localSheetId="11">{"Riqfin97",#N/A,FALSE,"Tran";"Riqfinpro",#N/A,FALSE,"Tran"}</definedName>
    <definedName name="gffd">{"Riqfin97",#N/A,FALSE,"Tran";"Riqfinpro",#N/A,FALSE,"Tran"}</definedName>
    <definedName name="gg" localSheetId="6">{"TBILLS_ALL",#N/A,FALSE,"FITB_all"}</definedName>
    <definedName name="gg" localSheetId="11">{"TBILLS_ALL",#N/A,FALSE,"FITB_all"}</definedName>
    <definedName name="gg">{"TBILLS_ALL",#N/A,FALSE,"FITB_all"}</definedName>
    <definedName name="GGG">#REF!</definedName>
    <definedName name="GGGG">#REF!</definedName>
    <definedName name="ggggg">#REF!</definedName>
    <definedName name="gggggggg" localSheetId="6">{"Tab1",#N/A,FALSE,"P";"Tab2",#N/A,FALSE,"P"}</definedName>
    <definedName name="gggggggg" localSheetId="11">{"Tab1",#N/A,FALSE,"P";"Tab2",#N/A,FALSE,"P"}</definedName>
    <definedName name="gggggggg">{"Tab1",#N/A,FALSE,"P";"Tab2",#N/A,FALSE,"P"}</definedName>
    <definedName name="gggggggggggg">#N/A</definedName>
    <definedName name="ght" localSheetId="6">{"Tab1",#N/A,FALSE,"P";"Tab2",#N/A,FALSE,"P"}</definedName>
    <definedName name="ght" localSheetId="11">{"Tab1",#N/A,FALSE,"P";"Tab2",#N/A,FALSE,"P"}</definedName>
    <definedName name="ght">{"Tab1",#N/A,FALSE,"P";"Tab2",#N/A,FALSE,"P"}</definedName>
    <definedName name="gra">#REF!</definedName>
    <definedName name="_xlnm.Recorder">#REF!</definedName>
    <definedName name="graf_inversion">#REF!</definedName>
    <definedName name="Grafico10" hidden="1">#REF!</definedName>
    <definedName name="Gráfico10_b" hidden="1">#REF!</definedName>
    <definedName name="grafico102" hidden="1">#REF!</definedName>
    <definedName name="Gráfico10bb" hidden="1">#REF!</definedName>
    <definedName name="Grafico11" hidden="1">#REF!</definedName>
    <definedName name="grafico112" hidden="1">#REF!</definedName>
    <definedName name="Gráfico11b" hidden="1">#REF!</definedName>
    <definedName name="Gráfico2_b" hidden="1">#REF!</definedName>
    <definedName name="Gráfico6_b" hidden="1">#REF!</definedName>
    <definedName name="Gráfico8_b" hidden="1">#REF!</definedName>
    <definedName name="graph" hidden="1">#REF!</definedName>
    <definedName name="gre" localSheetId="6">{"Riqfin97",#N/A,FALSE,"Tran";"Riqfinpro",#N/A,FALSE,"Tran"}</definedName>
    <definedName name="gre" localSheetId="11">{"Riqfin97",#N/A,FALSE,"Tran";"Riqfinpro",#N/A,FALSE,"Tran"}</definedName>
    <definedName name="gre">{"Riqfin97",#N/A,FALSE,"Tran";"Riqfinpro",#N/A,FALSE,"Tran"}</definedName>
    <definedName name="guyana1003" localSheetId="6" hidden="1">{"Main Economic Indicators",#N/A,FALSE,"C"}</definedName>
    <definedName name="guyana1003" localSheetId="11" hidden="1">{"Main Economic Indicators",#N/A,FALSE,"C"}</definedName>
    <definedName name="guyana1003" hidden="1">{"Main Economic Indicators",#N/A,FALSE,"C"}</definedName>
    <definedName name="gyu" localSheetId="6">{"Tab1",#N/A,FALSE,"P";"Tab2",#N/A,FALSE,"P"}</definedName>
    <definedName name="gyu" localSheetId="11">{"Tab1",#N/A,FALSE,"P";"Tab2",#N/A,FALSE,"P"}</definedName>
    <definedName name="gyu">{"Tab1",#N/A,FALSE,"P";"Tab2",#N/A,FALSE,"P"}</definedName>
    <definedName name="HEADER">#REF!</definedName>
    <definedName name="hfrstes">#REF!</definedName>
    <definedName name="hfshfrt">#REF!</definedName>
    <definedName name="hgfd" localSheetId="6">{#N/A,#N/A,FALSE,"I";#N/A,#N/A,FALSE,"J";#N/A,#N/A,FALSE,"K";#N/A,#N/A,FALSE,"L";#N/A,#N/A,FALSE,"M";#N/A,#N/A,FALSE,"N";#N/A,#N/A,FALSE,"O"}</definedName>
    <definedName name="hgfd" localSheetId="11">{#N/A,#N/A,FALSE,"I";#N/A,#N/A,FALSE,"J";#N/A,#N/A,FALSE,"K";#N/A,#N/A,FALSE,"L";#N/A,#N/A,FALSE,"M";#N/A,#N/A,FALSE,"N";#N/A,#N/A,FALSE,"O"}</definedName>
    <definedName name="hgfd">{#N/A,#N/A,FALSE,"I";#N/A,#N/A,FALSE,"J";#N/A,#N/A,FALSE,"K";#N/A,#N/A,FALSE,"L";#N/A,#N/A,FALSE,"M";#N/A,#N/A,FALSE,"N";#N/A,#N/A,FALSE,"O"}</definedName>
    <definedName name="hhh">#REF!</definedName>
    <definedName name="hhhhh" localSheetId="6">{"Tab1",#N/A,FALSE,"P";"Tab2",#N/A,FALSE,"P"}</definedName>
    <definedName name="hhhhh" localSheetId="11">{"Tab1",#N/A,FALSE,"P";"Tab2",#N/A,FALSE,"P"}</definedName>
    <definedName name="hhhhh">{"Tab1",#N/A,FALSE,"P";"Tab2",#N/A,FALSE,"P"}</definedName>
    <definedName name="hio" localSheetId="6">{"Tab1",#N/A,FALSE,"P";"Tab2",#N/A,FALSE,"P"}</definedName>
    <definedName name="hio" localSheetId="11">{"Tab1",#N/A,FALSE,"P";"Tab2",#N/A,FALSE,"P"}</definedName>
    <definedName name="hio">{"Tab1",#N/A,FALSE,"P";"Tab2",#N/A,FALSE,"P"}</definedName>
    <definedName name="hjk" localSheetId="6">{"Riqfin97",#N/A,FALSE,"Tran";"Riqfinpro",#N/A,FALSE,"Tran"}</definedName>
    <definedName name="hjk" localSheetId="11">{"Riqfin97",#N/A,FALSE,"Tran";"Riqfinpro",#N/A,FALSE,"Tran"}</definedName>
    <definedName name="hjk">{"Riqfin97",#N/A,FALSE,"Tran";"Riqfinpro",#N/A,FALSE,"Tran"}</definedName>
    <definedName name="hn" localSheetId="6">{"Riqfin97",#N/A,FALSE,"Tran";"Riqfinpro",#N/A,FALSE,"Tran"}</definedName>
    <definedName name="hn" localSheetId="11">{"Riqfin97",#N/A,FALSE,"Tran";"Riqfinpro",#N/A,FALSE,"Tran"}</definedName>
    <definedName name="hn">{"Riqfin97",#N/A,FALSE,"Tran";"Riqfinpro",#N/A,FALSE,"Tran"}</definedName>
    <definedName name="hpu" localSheetId="6">{"Tab1",#N/A,FALSE,"P";"Tab2",#N/A,FALSE,"P"}</definedName>
    <definedName name="hpu" localSheetId="11">{"Tab1",#N/A,FALSE,"P";"Tab2",#N/A,FALSE,"P"}</definedName>
    <definedName name="hpu">{"Tab1",#N/A,FALSE,"P";"Tab2",#N/A,FALSE,"P"}</definedName>
    <definedName name="HTML_CodePage" hidden="1">1252</definedName>
    <definedName name="HTML_Control" localSheetId="6" hidden="1">{"'Hoja1'!$A$8:$L$38"}</definedName>
    <definedName name="HTML_Control" localSheetId="11" hidden="1">{"'Hoja1'!$A$8:$L$38"}</definedName>
    <definedName name="HTML_Control" hidden="1">{"'Hoja1'!$A$8:$L$38"}</definedName>
    <definedName name="HTML_Control_2" localSheetId="6" hidden="1">{"'web page'!$A$1:$G$48"}</definedName>
    <definedName name="HTML_Control_2" localSheetId="11" hidden="1">{"'web page'!$A$1:$G$48"}</definedName>
    <definedName name="HTML_Control_2" hidden="1">{"'web page'!$A$1:$G$48"}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"C:\anu2002\mac\HTM\mac28.htm"</definedName>
    <definedName name="HTML_PathTemplate" hidden="1">"C:\AsianDem\Database 98\Forecasts\HTMLTemp.htm"</definedName>
    <definedName name="HTML_Title" hidden="1">""</definedName>
    <definedName name="HTML1_1" hidden="1">"[RESUMEN2.XLS]Hoja1!$A$1:$K$218"</definedName>
    <definedName name="HTML1_10" hidden="1">""</definedName>
    <definedName name="HTML1_11" hidden="1">1</definedName>
    <definedName name="HTML1_12" hidden="1">"L:\BEL\RESUMEN\resumen.html"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10_1" hidden="1">"[RESINTER.XLS]Hoja1!$A$216:$K$224"</definedName>
    <definedName name="HTML10_10" hidden="1">""</definedName>
    <definedName name="HTML10_11" hidden="1">1</definedName>
    <definedName name="HTML10_12" hidden="1">"l:\bel\resumen\res2.html"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"[RESINTER.XLS]Hoja1!$A$216:$V$224"</definedName>
    <definedName name="HTML11_10" hidden="1">""</definedName>
    <definedName name="HTML11_11" hidden="1">1</definedName>
    <definedName name="HTML11_12" hidden="1">"l:\bel\resumen\res2.html"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"[RESINTER.XLS]Hoja1!$A$218:$K$224"</definedName>
    <definedName name="HTML12_10" hidden="1">""</definedName>
    <definedName name="HTML12_11" hidden="1">1</definedName>
    <definedName name="HTML12_12" hidden="1">"l:\bel\resumen\res2.html"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"[RESINTER.XLS]Hoja1!$A$1:$K$224"</definedName>
    <definedName name="HTML13_10" hidden="1">""</definedName>
    <definedName name="HTML13_11" hidden="1">1</definedName>
    <definedName name="HTML13_12" hidden="1">"l:\estadis\estman\borrar2.htm"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"[RESINTER.XLS]Hoja1!$A$218:$A$224"</definedName>
    <definedName name="HTML14_10" hidden="1">""</definedName>
    <definedName name="HTML14_11" hidden="1">1</definedName>
    <definedName name="HTML14_12" hidden="1">"l:\bel\resumen\res2.html"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"[RESINTER.XLS]Hoja1!$A$1:$K$44"</definedName>
    <definedName name="HTML15_10" hidden="1">""</definedName>
    <definedName name="HTML15_11" hidden="1">1</definedName>
    <definedName name="HTML15_12" hidden="1">"L:\estadis\estman\borrar1.htm"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"[RESINTER.XLS]Hoja1!$A$1:$K$45"</definedName>
    <definedName name="HTML16_10" hidden="1">""</definedName>
    <definedName name="HTML16_11" hidden="1">1</definedName>
    <definedName name="HTML16_12" hidden="1">"l:\estadis\estman\borrar2.htm"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"[RESINTER.XLS]Hoja1!$A$218:$H$224"</definedName>
    <definedName name="HTML17_10" hidden="1">""</definedName>
    <definedName name="HTML17_11" hidden="1">1</definedName>
    <definedName name="HTML17_12" hidden="1">"l:\estadis\estman\borrar3.htm"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"[RESINTER.XLS]Hoja1!$A$205:$K$228"</definedName>
    <definedName name="HTML18_10" hidden="1">""</definedName>
    <definedName name="HTML18_11" hidden="1">1</definedName>
    <definedName name="HTML18_12" hidden="1">"l:\estadis\estman\borrar3.htm"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"[RESINTER.XLS]Hoja1!$A$210:$K$226"</definedName>
    <definedName name="HTML19_10" hidden="1">""</definedName>
    <definedName name="HTML19_11" hidden="1">1</definedName>
    <definedName name="HTML19_12" hidden="1">"l:\estadis\estman\borrar3.htm"</definedName>
    <definedName name="HTML19_2" hidden="1">1</definedName>
    <definedName name="HTML19_3" hidden="1">""</definedName>
    <definedName name="HTML19_4" hidden="1">"Hoja1"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"[RESUMEN2.XLS]Hoja1!$A$216:$K$218"</definedName>
    <definedName name="HTML2_10" hidden="1">""</definedName>
    <definedName name="HTML2_11" hidden="1">1</definedName>
    <definedName name="HTML2_12" hidden="1">"L:\BEL\RESUMEN\prueba.html"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20_1" hidden="1">"[RESINT2.XLS]Hoja1!$A$1:$K$224"</definedName>
    <definedName name="HTML20_10" hidden="1">""</definedName>
    <definedName name="HTML20_11" hidden="1">1</definedName>
    <definedName name="HTML20_12" hidden="1">"l:\bel\resumen\resint2.htm"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"[RESINT2.XLS]Hoja1!$A$1:$K$225"</definedName>
    <definedName name="HTML21_10" hidden="1">""</definedName>
    <definedName name="HTML21_11" hidden="1">1</definedName>
    <definedName name="HTML21_12" hidden="1">"l:\estadis\estman\borrar3.htm"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"[RESINT2.XLS]Hoja1!$A$1:$K$226"</definedName>
    <definedName name="HTML22_10" hidden="1">""</definedName>
    <definedName name="HTML22_11" hidden="1">1</definedName>
    <definedName name="HTML22_12" hidden="1">"l:\estadis\estman\borrar3.htm"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"[RBELINT.XLS]Hoja1!$A$1:$K$224"</definedName>
    <definedName name="HTML23_10" hidden="1">""</definedName>
    <definedName name="HTML23_11" hidden="1">1</definedName>
    <definedName name="HTML23_12" hidden="1">"K:\BASES\BEL\RES\RES1.HTM"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"[RESUMEN.XLS]Hoja1!$A$1:$K$226"</definedName>
    <definedName name="HTML24_10" hidden="1">""</definedName>
    <definedName name="HTML24_11" hidden="1">1</definedName>
    <definedName name="HTML24_12" hidden="1">"L:\BEL\RESUMEN\MyHTML.htm"</definedName>
    <definedName name="HTML24_2" hidden="1">1</definedName>
    <definedName name="HTML24_3" hidden="1">"RESUMEN.htm"</definedName>
    <definedName name="HTML24_4" hidden="1">"Hoja1"</definedName>
    <definedName name="HTML24_5" hidden="1">""</definedName>
    <definedName name="HTML24_6" hidden="1">-4146</definedName>
    <definedName name="HTML24_7" hidden="1">-4146</definedName>
    <definedName name="HTML24_8" hidden="1">"23/04/98"</definedName>
    <definedName name="HTML24_9" hidden="1">"MTAS"</definedName>
    <definedName name="HTML25_1">"'[ESTADISTICAS ANUALES.xls]Crbancario'!$C$3:$F$28"</definedName>
    <definedName name="HTML25_10">""</definedName>
    <definedName name="HTML25_11">1</definedName>
    <definedName name="HTML25_12">"K:\internet\pim07.htm"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"19/08/98"</definedName>
    <definedName name="HTML25_9">""</definedName>
    <definedName name="HTML26_1">"'[ESTADISTICAS ANUALES.xls]Amonetarios'!$C$3:$E$29"</definedName>
    <definedName name="HTML26_10">""</definedName>
    <definedName name="HTML26_11">1</definedName>
    <definedName name="HTML26_12">"K:\internet\pim10.htm"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"'[ESTADISTICAS ANUALES.xls]Rmin'!$C$3:$D$29"</definedName>
    <definedName name="HTML27_10">""</definedName>
    <definedName name="HTML27_11">1</definedName>
    <definedName name="HTML27_12">"K:\internet\pim04.htm"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"'[ESTADISTICAS ANUALES.xls]Depbcos'!$C$3:$F$28"</definedName>
    <definedName name="HTML28_10">""</definedName>
    <definedName name="HTML28_11">1</definedName>
    <definedName name="HTML28_12">"K:\internet\pim09.htm"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3_1" hidden="1">"[RESUMEN2.XLS]Hoja1!$A$1:$K$137"</definedName>
    <definedName name="HTML3_10" hidden="1">""</definedName>
    <definedName name="HTML3_11" hidden="1">1</definedName>
    <definedName name="HTML3_12" hidden="1">"L:\BEL\RESUMEN\resumen.html"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"[RESINTER.XLS]Hoja1!$A$1:$K$218"</definedName>
    <definedName name="HTML4_10" hidden="1">""</definedName>
    <definedName name="HTML4_11" hidden="1">1</definedName>
    <definedName name="HTML4_12" hidden="1">"L:\BEL\RESUMEN\res2inte.html"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"[RESINTER.XLS]Hoja1!$A$214:$K$217"</definedName>
    <definedName name="HTML5_10" hidden="1">""</definedName>
    <definedName name="HTML5_11" hidden="1">1</definedName>
    <definedName name="HTML5_12" hidden="1">"L:\BEL\RESUMEN\RES2INTE"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"[RESINTER.XLS]Hoja1!$A$215:$K$218"</definedName>
    <definedName name="HTML6_10" hidden="1">""</definedName>
    <definedName name="HTML6_11" hidden="1">1</definedName>
    <definedName name="HTML6_12" hidden="1">"L:\BEL\RESUMEN\res2.html"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"[RESINTER.XLS]Hoja1!$A$216:$K$218"</definedName>
    <definedName name="HTML7_10" hidden="1">""</definedName>
    <definedName name="HTML7_11" hidden="1">1</definedName>
    <definedName name="HTML7_12" hidden="1">"L:\BEL\RESUMEN\res2.html"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"[RESINTER.XLS]Hoja1!$A$216:$K$222"</definedName>
    <definedName name="HTML8_10" hidden="1">""</definedName>
    <definedName name="HTML8_11" hidden="1">1</definedName>
    <definedName name="HTML8_12" hidden="1">"L:\BEL\RESUMEN\res2.html"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"[RESINTER.XLS]Hoja1!$A$1:$K$222"</definedName>
    <definedName name="HTML9_10" hidden="1">""</definedName>
    <definedName name="HTML9_11" hidden="1">1</definedName>
    <definedName name="HTML9_12" hidden="1">"l:\bel\resumen\res2inte.html"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24</definedName>
    <definedName name="huh" localSheetId="6" hidden="1">{"'Basic'!$A$1:$F$96"}</definedName>
    <definedName name="huh" localSheetId="11" hidden="1">{"'Basic'!$A$1:$F$96"}</definedName>
    <definedName name="huh" hidden="1">{"'Basic'!$A$1:$F$96"}</definedName>
    <definedName name="hui" localSheetId="6">{"Tab1",#N/A,FALSE,"P";"Tab2",#N/A,FALSE,"P"}</definedName>
    <definedName name="hui" localSheetId="11">{"Tab1",#N/A,FALSE,"P";"Tab2",#N/A,FALSE,"P"}</definedName>
    <definedName name="hui">{"Tab1",#N/A,FALSE,"P";"Tab2",#N/A,FALSE,"P"}</definedName>
    <definedName name="huo" localSheetId="6">{"Tab1",#N/A,FALSE,"P";"Tab2",#N/A,FALSE,"P"}</definedName>
    <definedName name="huo" localSheetId="11">{"Tab1",#N/A,FALSE,"P";"Tab2",#N/A,FALSE,"P"}</definedName>
    <definedName name="huo">{"Tab1",#N/A,FALSE,"P";"Tab2",#N/A,FALSE,"P"}</definedName>
    <definedName name="I">#REF!</definedName>
    <definedName name="I_Capitulo">#REF!</definedName>
    <definedName name="I_G_Capitulo">#REF!</definedName>
    <definedName name="I_IInuevo">#REF!</definedName>
    <definedName name="I91_">#REF!</definedName>
    <definedName name="IC">#REF!</definedName>
    <definedName name="IDB">#REF!</definedName>
    <definedName name="Idioma">#REF!</definedName>
    <definedName name="IDN">#REF!</definedName>
    <definedName name="ii" localSheetId="6">{"Tab1",#N/A,FALSE,"P";"Tab2",#N/A,FALSE,"P"}</definedName>
    <definedName name="ii" localSheetId="11">{"Tab1",#N/A,FALSE,"P";"Tab2",#N/A,FALSE,"P"}</definedName>
    <definedName name="ii">{"Tab1",#N/A,FALSE,"P";"Tab2",#N/A,FALSE,"P"}</definedName>
    <definedName name="IIDT">#REF!</definedName>
    <definedName name="IIEE">#REF!</definedName>
    <definedName name="ikjh" localSheetId="6">{"Riqfin97",#N/A,FALSE,"Tran";"Riqfinpro",#N/A,FALSE,"Tran"}</definedName>
    <definedName name="ikjh" localSheetId="11">{"Riqfin97",#N/A,FALSE,"Tran";"Riqfinpro",#N/A,FALSE,"Tran"}</definedName>
    <definedName name="ikjh">{"Riqfin97",#N/A,FALSE,"Tran";"Riqfinpro",#N/A,FALSE,"Tran"}</definedName>
    <definedName name="ilo" localSheetId="6">{"Riqfin97",#N/A,FALSE,"Tran";"Riqfinpro",#N/A,FALSE,"Tran"}</definedName>
    <definedName name="ilo" localSheetId="11">{"Riqfin97",#N/A,FALSE,"Tran";"Riqfinpro",#N/A,FALSE,"Tran"}</definedName>
    <definedName name="ilo">{"Riqfin97",#N/A,FALSE,"Tran";"Riqfinpro",#N/A,FALSE,"Tran"}</definedName>
    <definedName name="ilu" localSheetId="6">{"Riqfin97",#N/A,FALSE,"Tran";"Riqfinpro",#N/A,FALSE,"Tran"}</definedName>
    <definedName name="ilu" localSheetId="11">{"Riqfin97",#N/A,FALSE,"Tran";"Riqfinpro",#N/A,FALSE,"Tran"}</definedName>
    <definedName name="ilu">{"Riqfin97",#N/A,FALSE,"Tran";"Riqfinpro",#N/A,FALSE,"Tran"}</definedName>
    <definedName name="IM1_">#REF!</definedName>
    <definedName name="IMP_1">#REF!,#REF!,#REF!,#REF!,#REF!,#REF!</definedName>
    <definedName name="Imp_capital">#REF!</definedName>
    <definedName name="Imp_renta" localSheetId="5">#REF!</definedName>
    <definedName name="Imp_renta">#REF!</definedName>
    <definedName name="Imp_sobre_productos" localSheetId="5">#REF!</definedName>
    <definedName name="Imp_sobre_productos">#REF!</definedName>
    <definedName name="IMP_TOTAL">#REF!,#REF!,#REF!,#REF!</definedName>
    <definedName name="importe_receta_activo">#REF!</definedName>
    <definedName name="importe_receta_pensi">#REF!</definedName>
    <definedName name="importe_receta_total">#REF!</definedName>
    <definedName name="IMPR1">#REF!,#REF!,#REF!</definedName>
    <definedName name="impres">#REF!,#REF!,#REF!</definedName>
    <definedName name="Index_Sheet_Kutools">#REF!</definedName>
    <definedName name="indibusca" localSheetId="7">[4]CONTROL!$R$1:$Y$205</definedName>
    <definedName name="indibusca" localSheetId="11">#REF!</definedName>
    <definedName name="indibusca" localSheetId="12">[4]CONTROL!$R$1:$Y$205</definedName>
    <definedName name="indibusca">#REF!</definedName>
    <definedName name="indiceIRPF">#REF!</definedName>
    <definedName name="indigo">#N/A</definedName>
    <definedName name="Ingresos_tributarios_totales">#REF!</definedName>
    <definedName name="Inicio59">#REF!</definedName>
    <definedName name="INIT">#REF!</definedName>
    <definedName name="input_in" localSheetId="6">{"TRADE_COMP",#N/A,FALSE,"TAB23APP";"BOP",#N/A,FALSE,"TAB6";"DOT",#N/A,FALSE,"TAB24APP";"EXTDEBT",#N/A,FALSE,"TAB25APP"}</definedName>
    <definedName name="input_in" localSheetId="11">{"TRADE_COMP",#N/A,FALSE,"TAB23APP";"BOP",#N/A,FALSE,"TAB6";"DOT",#N/A,FALSE,"TAB24APP";"EXTDEBT",#N/A,FALSE,"TAB25APP"}</definedName>
    <definedName name="input_in">{"TRADE_COMP",#N/A,FALSE,"TAB23APP";"BOP",#N/A,FALSE,"TAB6";"DOT",#N/A,FALSE,"TAB24APP";"EXTDEBT",#N/A,FALSE,"TAB25APP"}</definedName>
    <definedName name="Int">#REF!</definedName>
    <definedName name="IOD">#REF!</definedName>
    <definedName name="IQ_ACCOUNT_CHANGE" hidden="1">"c413"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>1000</definedName>
    <definedName name="IQ_LATESTQ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>800000</definedName>
    <definedName name="IQ_NAMES_REVISION_DATE_">41401.4855902778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"c1122"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39567.4043634259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NR">#REF!</definedName>
    <definedName name="IRPF">#REF!</definedName>
    <definedName name="IRPF20072">#REF!</definedName>
    <definedName name="IRPF2012">#REF!</definedName>
    <definedName name="IS">#REF!</definedName>
    <definedName name="ISFAS04">#REF!</definedName>
    <definedName name="IVA">#REF!</definedName>
    <definedName name="ixxjesd" hidden="1">#REF!</definedName>
    <definedName name="JAIME">#REF!</definedName>
    <definedName name="jeg" localSheetId="6" hidden="1">{#N/A,#N/A,FALSE,"PERSONAL";#N/A,#N/A,FALSE,"explotación";#N/A,#N/A,FALSE,"generales"}</definedName>
    <definedName name="jeg" localSheetId="11" hidden="1">{#N/A,#N/A,FALSE,"PERSONAL";#N/A,#N/A,FALSE,"explotación";#N/A,#N/A,FALSE,"generales"}</definedName>
    <definedName name="jeg" hidden="1">{#N/A,#N/A,FALSE,"PERSONAL";#N/A,#N/A,FALSE,"explotación";#N/A,#N/A,FALSE,"generales"}</definedName>
    <definedName name="jgukg" localSheetId="6">{#N/A,#N/A,FALSE,"DOC";"TB_28",#N/A,FALSE,"FITB_28";"TB_91",#N/A,FALSE,"FITB_91";"TB_182",#N/A,FALSE,"FITB_182";"TB_273",#N/A,FALSE,"FITB_273";"TB_364",#N/A,FALSE,"FITB_364 ";"SUMMARY",#N/A,FALSE,"Summary"}</definedName>
    <definedName name="jgukg" localSheetId="11">{#N/A,#N/A,FALSE,"DOC";"TB_28",#N/A,FALSE,"FITB_28";"TB_91",#N/A,FALSE,"FITB_91";"TB_182",#N/A,FALSE,"FITB_182";"TB_273",#N/A,FALSE,"FITB_273";"TB_364",#N/A,FALSE,"FITB_364 ";"SUMMARY",#N/A,FALSE,"Summary"}</definedName>
    <definedName name="jgukg">{#N/A,#N/A,FALSE,"DOC";"TB_28",#N/A,FALSE,"FITB_28";"TB_91",#N/A,FALSE,"FITB_91";"TB_182",#N/A,FALSE,"FITB_182";"TB_273",#N/A,FALSE,"FITB_273";"TB_364",#N/A,FALSE,"FITB_364 ";"SUMMARY",#N/A,FALSE,"Summary"}</definedName>
    <definedName name="jhgf" localSheetId="6">{"MONA",#N/A,FALSE,"S"}</definedName>
    <definedName name="jhgf" localSheetId="11">{"MONA",#N/A,FALSE,"S"}</definedName>
    <definedName name="jhgf">{"MONA",#N/A,FALSE,"S"}</definedName>
    <definedName name="jj" localSheetId="6">{"Riqfin97",#N/A,FALSE,"Tran";"Riqfinpro",#N/A,FALSE,"Tran"}</definedName>
    <definedName name="jj" localSheetId="11">{"Riqfin97",#N/A,FALSE,"Tran";"Riqfinpro",#N/A,FALSE,"Tran"}</definedName>
    <definedName name="jj">{"Riqfin97",#N/A,FALSE,"Tran";"Riqfinpro",#N/A,FALSE,"Tran"}</definedName>
    <definedName name="jjj">#REF!</definedName>
    <definedName name="jjjj" localSheetId="6">{"Tab1",#N/A,FALSE,"P";"Tab2",#N/A,FALSE,"P"}</definedName>
    <definedName name="jjjj" localSheetId="11">{"Tab1",#N/A,FALSE,"P";"Tab2",#N/A,FALSE,"P"}</definedName>
    <definedName name="jjjj">{"Tab1",#N/A,FALSE,"P";"Tab2",#N/A,FALSE,"P"}</definedName>
    <definedName name="jjjjjj">#REF!</definedName>
    <definedName name="jkbjkb" localSheetId="6">{"DEPOSITS",#N/A,FALSE,"COMML_MON";"LOANS",#N/A,FALSE,"COMML_MON"}</definedName>
    <definedName name="jkbjkb" localSheetId="11">{"DEPOSITS",#N/A,FALSE,"COMML_MON";"LOANS",#N/A,FALSE,"COMML_MON"}</definedName>
    <definedName name="jkbjkb">{"DEPOSITS",#N/A,FALSE,"COMML_MON";"LOANS",#N/A,FALSE,"COMML_MON"}</definedName>
    <definedName name="ju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i" localSheetId="6">{"Riqfin97",#N/A,FALSE,"Tran";"Riqfinpro",#N/A,FALSE,"Tran"}</definedName>
    <definedName name="jui" localSheetId="11">{"Riqfin97",#N/A,FALSE,"Tran";"Riqfinpro",#N/A,FALSE,"Tran"}</definedName>
    <definedName name="jui">{"Riqfin97",#N/A,FALSE,"Tran";"Riqfinpro",#N/A,FALSE,"Tran"}</definedName>
    <definedName name="juy" localSheetId="6">{"Tab1",#N/A,FALSE,"P";"Tab2",#N/A,FALSE,"P"}</definedName>
    <definedName name="juy" localSheetId="11">{"Tab1",#N/A,FALSE,"P";"Tab2",#N/A,FALSE,"P"}</definedName>
    <definedName name="juy">{"Tab1",#N/A,FALSE,"P";"Tab2",#N/A,FALSE,"P"}</definedName>
    <definedName name="k" localSheetId="6">{"Riqfin97",#N/A,FALSE,"Tran";"Riqfinpro",#N/A,FALSE,"Tran"}</definedName>
    <definedName name="k" localSheetId="11">{"Riqfin97",#N/A,FALSE,"Tran";"Riqfinpro",#N/A,FALSE,"Tran"}</definedName>
    <definedName name="k">{"Riqfin97",#N/A,FALSE,"Tran";"Riqfinpro",#N/A,FALSE,"Tran"}</definedName>
    <definedName name="kb" localSheetId="6">{"Riqfin97",#N/A,FALSE,"Tran";"Riqfinpro",#N/A,FALSE,"Tran"}</definedName>
    <definedName name="kb" localSheetId="11">{"Riqfin97",#N/A,FALSE,"Tran";"Riqfinpro",#N/A,FALSE,"Tran"}</definedName>
    <definedName name="kb">{"Riqfin97",#N/A,FALSE,"Tran";"Riqfinpro",#N/A,FALSE,"Tran"}</definedName>
    <definedName name="kio" localSheetId="6">{"Tab1",#N/A,FALSE,"P";"Tab2",#N/A,FALSE,"P"}</definedName>
    <definedName name="kio" localSheetId="11">{"Tab1",#N/A,FALSE,"P";"Tab2",#N/A,FALSE,"P"}</definedName>
    <definedName name="kio">{"Tab1",#N/A,FALSE,"P";"Tab2",#N/A,FALSE,"P"}</definedName>
    <definedName name="kiu" localSheetId="6">{"Riqfin97",#N/A,FALSE,"Tran";"Riqfinpro",#N/A,FALSE,"Tran"}</definedName>
    <definedName name="kiu" localSheetId="11">{"Riqfin97",#N/A,FALSE,"Tran";"Riqfinpro",#N/A,FALSE,"Tran"}</definedName>
    <definedName name="kiu">{"Riqfin97",#N/A,FALSE,"Tran";"Riqfinpro",#N/A,FALSE,"Tran"}</definedName>
    <definedName name="kjas" localSheetId="6">{"Riqfin97",#N/A,FALSE,"Tran";"Riqfinpro",#N/A,FALSE,"Tran"}</definedName>
    <definedName name="kjas" localSheetId="11">{"Riqfin97",#N/A,FALSE,"Tran";"Riqfinpro",#N/A,FALSE,"Tran"}</definedName>
    <definedName name="kjas">{"Riqfin97",#N/A,FALSE,"Tran";"Riqfinpro",#N/A,FALSE,"Tran"}</definedName>
    <definedName name="kjg" localSheetId="6">{#N/A,#N/A,FALSE,"SimInp1";#N/A,#N/A,FALSE,"SimInp2";#N/A,#N/A,FALSE,"SimOut1";#N/A,#N/A,FALSE,"SimOut2";#N/A,#N/A,FALSE,"SimOut3";#N/A,#N/A,FALSE,"SimOut4";#N/A,#N/A,FALSE,"SimOut5"}</definedName>
    <definedName name="kjg" localSheetId="11">{#N/A,#N/A,FALSE,"SimInp1";#N/A,#N/A,FALSE,"SimInp2";#N/A,#N/A,FALSE,"SimOut1";#N/A,#N/A,FALSE,"SimOut2";#N/A,#N/A,FALSE,"SimOut3";#N/A,#N/A,FALSE,"SimOut4";#N/A,#N/A,FALSE,"SimOut5"}</definedName>
    <definedName name="kjg">{#N/A,#N/A,FALSE,"SimInp1";#N/A,#N/A,FALSE,"SimInp2";#N/A,#N/A,FALSE,"SimOut1";#N/A,#N/A,FALSE,"SimOut2";#N/A,#N/A,FALSE,"SimOut3";#N/A,#N/A,FALSE,"SimOut4";#N/A,#N/A,FALSE,"SimOut5"}</definedName>
    <definedName name="kjhg" localSheetId="6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1">{"BOP_TAB",#N/A,FALSE,"N";"MIDTERM_TAB",#N/A,FALSE,"O";"FUND_CRED",#N/A,FALSE,"P";"DEBT_TAB1",#N/A,FALSE,"Q";"DEBT_TAB2",#N/A,FALSE,"Q";"FORFIN_TAB1",#N/A,FALSE,"R";"FORFIN_TAB2",#N/A,FALSE,"R";"BOP_ANALY",#N/A,FALSE,"U"}</definedName>
    <definedName name="kjhg">{"BOP_TAB",#N/A,FALSE,"N";"MIDTERM_TAB",#N/A,FALSE,"O";"FUND_CRED",#N/A,FALSE,"P";"DEBT_TAB1",#N/A,FALSE,"Q";"DEBT_TAB2",#N/A,FALSE,"Q";"FORFIN_TAB1",#N/A,FALSE,"R";"FORFIN_TAB2",#N/A,FALSE,"R";"BOP_ANALY",#N/A,FALSE,"U"}</definedName>
    <definedName name="kjkj" localSheetId="6">{"Main Economic Indicators",#N/A,FALSE,"C"}</definedName>
    <definedName name="kjkj" localSheetId="11">{"Main Economic Indicators",#N/A,FALSE,"C"}</definedName>
    <definedName name="kjkj">{"Main Economic Indicators",#N/A,FALSE,"C"}</definedName>
    <definedName name="kk" localSheetId="6">{"Tab1",#N/A,FALSE,"P";"Tab2",#N/A,FALSE,"P"}</definedName>
    <definedName name="kk" localSheetId="11">{"Tab1",#N/A,FALSE,"P";"Tab2",#N/A,FALSE,"P"}</definedName>
    <definedName name="kk">{"Tab1",#N/A,FALSE,"P";"Tab2",#N/A,FALSE,"P"}</definedName>
    <definedName name="kkk" localSheetId="6">{"Tab1",#N/A,FALSE,"P";"Tab2",#N/A,FALSE,"P"}</definedName>
    <definedName name="kkk" localSheetId="11">{"Tab1",#N/A,FALSE,"P";"Tab2",#N/A,FALSE,"P"}</definedName>
    <definedName name="kkk">{"Tab1",#N/A,FALSE,"P";"Tab2",#N/A,FALSE,"P"}</definedName>
    <definedName name="kkkk">#REF!</definedName>
    <definedName name="kkkkk">#REF!</definedName>
    <definedName name="kl" localSheetId="6">{"Riqfin97",#N/A,FALSE,"Tran";"Riqfinpro",#N/A,FALSE,"Tran"}</definedName>
    <definedName name="kl" localSheetId="11">{"Riqfin97",#N/A,FALSE,"Tran";"Riqfinpro",#N/A,FALSE,"Tran"}</definedName>
    <definedName name="kl">{"Riqfin97",#N/A,FALSE,"Tran";"Riqfinpro",#N/A,FALSE,"Tran"}</definedName>
    <definedName name="kljlkh" localSheetId="6">{"TRADE_COMP",#N/A,FALSE,"TAB23APP";"BOP",#N/A,FALSE,"TAB6";"DOT",#N/A,FALSE,"TAB24APP";"EXTDEBT",#N/A,FALSE,"TAB25APP"}</definedName>
    <definedName name="kljlkh" localSheetId="11">{"TRADE_COMP",#N/A,FALSE,"TAB23APP";"BOP",#N/A,FALSE,"TAB6";"DOT",#N/A,FALSE,"TAB24APP";"EXTDEBT",#N/A,FALSE,"TAB25APP"}</definedName>
    <definedName name="kljlkh">{"TRADE_COMP",#N/A,FALSE,"TAB23APP";"BOP",#N/A,FALSE,"TAB6";"DOT",#N/A,FALSE,"TAB24APP";"EXTDEBT",#N/A,FALSE,"TAB25APP"}</definedName>
    <definedName name="km" localSheetId="6">{"Tab1",#N/A,FALSE,"P";"Tab2",#N/A,FALSE,"P"}</definedName>
    <definedName name="km" localSheetId="11">{"Tab1",#N/A,FALSE,"P";"Tab2",#N/A,FALSE,"P"}</definedName>
    <definedName name="km">{"Tab1",#N/A,FALSE,"P";"Tab2",#N/A,FALSE,"P"}</definedName>
    <definedName name="kol">#REF!</definedName>
    <definedName name="kossi">#REF!</definedName>
    <definedName name="l">#REF!</definedName>
    <definedName name="LEAP">#REF!</definedName>
    <definedName name="limcount" hidden="1">3</definedName>
    <definedName name="ListaCCAA">#REF!</definedName>
    <definedName name="lita">#N/A</definedName>
    <definedName name="lkjh" localSheetId="6">{"Riqfin97",#N/A,FALSE,"Tran";"Riqfinpro",#N/A,FALSE,"Tran"}</definedName>
    <definedName name="lkjh" localSheetId="11">{"Riqfin97",#N/A,FALSE,"Tran";"Riqfinpro",#N/A,FALSE,"Tran"}</definedName>
    <definedName name="lkjh">{"Riqfin97",#N/A,FALSE,"Tran";"Riqfinpro",#N/A,FALSE,"Tran"}</definedName>
    <definedName name="ll" localSheetId="6">{"Tab1",#N/A,FALSE,"P";"Tab2",#N/A,FALSE,"P"}</definedName>
    <definedName name="ll" localSheetId="11">{"Tab1",#N/A,FALSE,"P";"Tab2",#N/A,FALSE,"P"}</definedName>
    <definedName name="ll">{"Tab1",#N/A,FALSE,"P";"Tab2",#N/A,FALSE,"P"}</definedName>
    <definedName name="lll" localSheetId="6">{"Riqfin97",#N/A,FALSE,"Tran";"Riqfinpro",#N/A,FALSE,"Tran"}</definedName>
    <definedName name="lll" localSheetId="11">{"Riqfin97",#N/A,FALSE,"Tran";"Riqfinpro",#N/A,FALSE,"Tran"}</definedName>
    <definedName name="lll">{"Riqfin97",#N/A,FALSE,"Tran";"Riqfinpro",#N/A,FALSE,"Tran"}</definedName>
    <definedName name="llll">#REF!</definedName>
    <definedName name="lllll" localSheetId="6">{"Tab1",#N/A,FALSE,"P";"Tab2",#N/A,FALSE,"P"}</definedName>
    <definedName name="lllll" localSheetId="11">{"Tab1",#N/A,FALSE,"P";"Tab2",#N/A,FALSE,"P"}</definedName>
    <definedName name="lllll">{"Tab1",#N/A,FALSE,"P";"Tab2",#N/A,FALSE,"P"}</definedName>
    <definedName name="llllll" localSheetId="6">{"Minpmon",#N/A,FALSE,"Monthinput"}</definedName>
    <definedName name="llllll" localSheetId="11">{"Minpmon",#N/A,FALSE,"Monthinput"}</definedName>
    <definedName name="llllll">{"Minpmon",#N/A,FALSE,"Monthinput"}</definedName>
    <definedName name="lo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" localSheetId="6" hidden="1">{#N/A,#N/A,FALSE,"PERSONAL";#N/A,#N/A,FALSE,"explotación";#N/A,#N/A,FALSE,"generales"}</definedName>
    <definedName name="lola" localSheetId="11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s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ta" localSheetId="6">{"Riqfin97",#N/A,FALSE,"Tran";"Riqfinpro",#N/A,FALSE,"Tran"}</definedName>
    <definedName name="lta" localSheetId="11">{"Riqfin97",#N/A,FALSE,"Tran";"Riqfinpro",#N/A,FALSE,"Tran"}</definedName>
    <definedName name="lta">{"Riqfin97",#N/A,FALSE,"Tran";"Riqfinpro",#N/A,FALSE,"Tran"}</definedName>
    <definedName name="m">#REF!</definedName>
    <definedName name="M1_IMP">#N/A</definedName>
    <definedName name="macro">#REF!</definedName>
    <definedName name="madrid">#REF!</definedName>
    <definedName name="MARISA_2005">#REF!</definedName>
    <definedName name="Materia">#REF!</definedName>
    <definedName name="MDTab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edidas_I_G">#REF!</definedName>
    <definedName name="MES">#REF!</definedName>
    <definedName name="Meses">#REF!</definedName>
    <definedName name="mflowsa">#REF!</definedName>
    <definedName name="mflowsq">#REF!</definedName>
    <definedName name="MILES">#REF!</definedName>
    <definedName name="MILESILES">#REF!</definedName>
    <definedName name="mmm" localSheetId="6">{"Riqfin97",#N/A,FALSE,"Tran";"Riqfinpro",#N/A,FALSE,"Tran"}</definedName>
    <definedName name="mmm" localSheetId="11">{"Riqfin97",#N/A,FALSE,"Tran";"Riqfinpro",#N/A,FALSE,"Tran"}</definedName>
    <definedName name="mmm">{"Riqfin97",#N/A,FALSE,"Tran";"Riqfinpro",#N/A,FALSE,"Tran"}</definedName>
    <definedName name="mmmm" localSheetId="6">{"Tab1",#N/A,FALSE,"P";"Tab2",#N/A,FALSE,"P"}</definedName>
    <definedName name="mmmm" localSheetId="11">{"Tab1",#N/A,FALSE,"P";"Tab2",#N/A,FALSE,"P"}</definedName>
    <definedName name="mmmm">{"Tab1",#N/A,FALSE,"P";"Tab2",#N/A,FALSE,"P"}</definedName>
    <definedName name="mmmmm" localSheetId="6">{"Riqfin97",#N/A,FALSE,"Tran";"Riqfinpro",#N/A,FALSE,"Tran"}</definedName>
    <definedName name="mmmmm" localSheetId="11">{"Riqfin97",#N/A,FALSE,"Tran";"Riqfinpro",#N/A,FALSE,"Tran"}</definedName>
    <definedName name="mmmmm">{"Riqfin97",#N/A,FALSE,"Tran";"Riqfinpro",#N/A,FALSE,"Tran"}</definedName>
    <definedName name="mn" localSheetId="6">{"Riqfin97",#N/A,FALSE,"Tran";"Riqfinpro",#N/A,FALSE,"Tran"}</definedName>
    <definedName name="mn" localSheetId="11">{"Riqfin97",#N/A,FALSE,"Tran";"Riqfinpro",#N/A,FALSE,"Tran"}</definedName>
    <definedName name="mn">{"Riqfin97",#N/A,FALSE,"Tran";"Riqfinpro",#N/A,FALSE,"Tran"}</definedName>
    <definedName name="Modelo">#REF!</definedName>
    <definedName name="MODELOS">#REF!</definedName>
    <definedName name="ModeW" localSheetId="5">#REF!</definedName>
    <definedName name="ModeW" localSheetId="6">#REF!</definedName>
    <definedName name="ModeW" localSheetId="11">#REF!</definedName>
    <definedName name="ModeW">#REF!</definedName>
    <definedName name="Modific_I32a">#REF!</definedName>
    <definedName name="mstocksa">#REF!</definedName>
    <definedName name="mstocksq">#REF!</definedName>
    <definedName name="mte" localSheetId="6">{"Riqfin97",#N/A,FALSE,"Tran";"Riqfinpro",#N/A,FALSE,"Tran"}</definedName>
    <definedName name="mte" localSheetId="11">{"Riqfin97",#N/A,FALSE,"Tran";"Riqfinpro",#N/A,FALSE,"Tran"}</definedName>
    <definedName name="mte">{"Riqfin97",#N/A,FALSE,"Tran";"Riqfinpro",#N/A,FALSE,"Tran"}</definedName>
    <definedName name="MUFACE04">#REF!</definedName>
    <definedName name="MUGEJU04">#REF!</definedName>
    <definedName name="N">#REF!</definedName>
    <definedName name="namestra">#REF!:#REF!</definedName>
    <definedName name="new" localSheetId="6">{"TBILLS_ALL",#N/A,FALSE,"FITB_all"}</definedName>
    <definedName name="new" localSheetId="11">{"TBILLS_ALL",#N/A,FALSE,"FITB_all"}</definedName>
    <definedName name="new">{"TBILLS_ALL",#N/A,FALSE,"FITB_all"}</definedName>
    <definedName name="New_Fil2" hidden="1">#REF!</definedName>
    <definedName name="newnew" localSheetId="6">{"TBILLS_ALL",#N/A,FALSE,"FITB_all"}</definedName>
    <definedName name="newnew" localSheetId="11">{"TBILLS_ALL",#N/A,FALSE,"FITB_all"}</definedName>
    <definedName name="newnew">{"TBILLS_ALL",#N/A,FALSE,"FITB_all"}</definedName>
    <definedName name="NewNew_FIl" hidden="1">#REF!</definedName>
    <definedName name="nfrtrs">#REF!</definedName>
    <definedName name="nn" localSheetId="6">{"Riqfin97",#N/A,FALSE,"Tran";"Riqfinpro",#N/A,FALSE,"Tran"}</definedName>
    <definedName name="nn" localSheetId="11">{"Riqfin97",#N/A,FALSE,"Tran";"Riqfinpro",#N/A,FALSE,"Tran"}</definedName>
    <definedName name="nn">{"Riqfin97",#N/A,FALSE,"Tran";"Riqfinpro",#N/A,FALSE,"Tran"}</definedName>
    <definedName name="nnga">#REF!</definedName>
    <definedName name="nnn" localSheetId="6">{"Tab1",#N/A,FALSE,"P";"Tab2",#N/A,FALSE,"P"}</definedName>
    <definedName name="nnn" localSheetId="11">{"Tab1",#N/A,FALSE,"P";"Tab2",#N/A,FALSE,"P"}</definedName>
    <definedName name="nnn">{"Tab1",#N/A,FALSE,"P";"Tab2",#N/A,FALSE,"P"}</definedName>
    <definedName name="None">#REF!</definedName>
    <definedName name="NONLEAP">#REF!</definedName>
    <definedName name="NOW">#REF!</definedName>
    <definedName name="NR">#REF!</definedName>
    <definedName name="NTDD_RG">#N/A</definedName>
    <definedName name="nueva">#REF!</definedName>
    <definedName name="Nuevo" hidden="1">#REF!</definedName>
    <definedName name="NumDias">#REF!</definedName>
    <definedName name="ñ">#REF!</definedName>
    <definedName name="ññ" localSheetId="6" hidden="1">{#N/A,#N/A,FALSE,"PERSONAL";#N/A,#N/A,FALSE,"explotación";#N/A,#N/A,FALSE,"generales"}</definedName>
    <definedName name="ññ" localSheetId="11" hidden="1">{#N/A,#N/A,FALSE,"PERSONAL";#N/A,#N/A,FALSE,"explotación";#N/A,#N/A,FALSE,"generales"}</definedName>
    <definedName name="ññ" hidden="1">{#N/A,#N/A,FALSE,"PERSONAL";#N/A,#N/A,FALSE,"explotación";#N/A,#N/A,FALSE,"generales"}</definedName>
    <definedName name="ññññ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º390" localSheetId="5">#REF!</definedName>
    <definedName name="º390" localSheetId="6">#REF!</definedName>
    <definedName name="º390" localSheetId="7">'[6]Impacto EV=0 H'!#REF!</definedName>
    <definedName name="º390" localSheetId="11">#REF!</definedName>
    <definedName name="º390" localSheetId="12">'[6]Impacto EV=0 H'!#REF!</definedName>
    <definedName name="º390">#REF!</definedName>
    <definedName name="º391" localSheetId="5">#REF!</definedName>
    <definedName name="º391" localSheetId="6">#REF!</definedName>
    <definedName name="º391" localSheetId="11">#REF!</definedName>
    <definedName name="º391">#REF!</definedName>
    <definedName name="º392" localSheetId="5">#REF!</definedName>
    <definedName name="º392" localSheetId="6">#REF!</definedName>
    <definedName name="º392" localSheetId="11">#REF!</definedName>
    <definedName name="º392">#REF!</definedName>
    <definedName name="º398" localSheetId="5">#REF!</definedName>
    <definedName name="º398" localSheetId="6">#REF!</definedName>
    <definedName name="º398" localSheetId="7">'[6]Impacto EV=1 H'!#REF!</definedName>
    <definedName name="º398" localSheetId="11">#REF!</definedName>
    <definedName name="º398" localSheetId="12">'[6]Impacto EV=1 H'!#REF!</definedName>
    <definedName name="º398">#REF!</definedName>
    <definedName name="º400" localSheetId="5">#REF!</definedName>
    <definedName name="º400" localSheetId="6">#REF!</definedName>
    <definedName name="º400" localSheetId="7">'[6]Impacto EV=0 H'!#REF!</definedName>
    <definedName name="º400" localSheetId="11">#REF!</definedName>
    <definedName name="º400" localSheetId="12">'[6]Impacto EV=0 H'!#REF!</definedName>
    <definedName name="º400">#REF!</definedName>
    <definedName name="º401" localSheetId="5">#REF!</definedName>
    <definedName name="º401" localSheetId="6">#REF!</definedName>
    <definedName name="º401" localSheetId="7">'[6]Impacto EV=0,5 H'!#REF!</definedName>
    <definedName name="º401" localSheetId="11">#REF!</definedName>
    <definedName name="º401" localSheetId="12">'[6]Impacto EV=0,5 H'!#REF!</definedName>
    <definedName name="º401">#REF!</definedName>
    <definedName name="old" localSheetId="6">{"TBILLS_ALL",#N/A,FALSE,"FITB_all"}</definedName>
    <definedName name="old" localSheetId="11">{"TBILLS_ALL",#N/A,FALSE,"FITB_all"}</definedName>
    <definedName name="old">{"TBILLS_ALL",#N/A,FALSE,"FITB_all"}</definedName>
    <definedName name="oliu" localSheetId="6">{"WEO",#N/A,FALSE,"T"}</definedName>
    <definedName name="oliu" localSheetId="11">{"WEO",#N/A,FALSE,"T"}</definedName>
    <definedName name="oliu">{"WEO",#N/A,FALSE,"T"}</definedName>
    <definedName name="OneOff">#REF!</definedName>
    <definedName name="oo" localSheetId="6">{"Riqfin97",#N/A,FALSE,"Tran";"Riqfinpro",#N/A,FALSE,"Tran"}</definedName>
    <definedName name="oo" localSheetId="11">{"Riqfin97",#N/A,FALSE,"Tran";"Riqfinpro",#N/A,FALSE,"Tran"}</definedName>
    <definedName name="oo">{"Riqfin97",#N/A,FALSE,"Tran";"Riqfinpro",#N/A,FALSE,"Tran"}</definedName>
    <definedName name="ooo" localSheetId="6">{"Tab1",#N/A,FALSE,"P";"Tab2",#N/A,FALSE,"P"}</definedName>
    <definedName name="ooo" localSheetId="11">{"Tab1",#N/A,FALSE,"P";"Tab2",#N/A,FALSE,"P"}</definedName>
    <definedName name="ooo">{"Tab1",#N/A,FALSE,"P";"Tab2",#N/A,FALSE,"P"}</definedName>
    <definedName name="oooo" localSheetId="6">{"Tab1",#N/A,FALSE,"P";"Tab2",#N/A,FALSE,"P"}</definedName>
    <definedName name="oooo" localSheetId="11">{"Tab1",#N/A,FALSE,"P";"Tab2",#N/A,FALSE,"P"}</definedName>
    <definedName name="oooo">{"Tab1",#N/A,FALSE,"P";"Tab2",#N/A,FALSE,"P"}</definedName>
    <definedName name="opu" localSheetId="6">{"Riqfin97",#N/A,FALSE,"Tran";"Riqfinpro",#N/A,FALSE,"Tran"}</definedName>
    <definedName name="opu" localSheetId="11">{"Riqfin97",#N/A,FALSE,"Tran";"Riqfinpro",#N/A,FALSE,"Tran"}</definedName>
    <definedName name="opu">{"Riqfin97",#N/A,FALSE,"Tran";"Riqfinpro",#N/A,FALSE,"Tran"}</definedName>
    <definedName name="oqui89">#REF!,#REF!,#REF!,#REF!,#REF!,#REF!,#REF!,#REF!</definedName>
    <definedName name="Origen">#REF!</definedName>
    <definedName name="otro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s_imp_producc" localSheetId="5">#REF!</definedName>
    <definedName name="Otros_imp_producc">#REF!</definedName>
    <definedName name="p" localSheetId="6">{"Riqfin97",#N/A,FALSE,"Tran";"Riqfinpro",#N/A,FALSE,"Tran"}</definedName>
    <definedName name="p" localSheetId="11">{"Riqfin97",#N/A,FALSE,"Tran";"Riqfinpro",#N/A,FALSE,"Tran"}</definedName>
    <definedName name="p">{"Riqfin97",#N/A,FALSE,"Tran";"Riqfinpro",#N/A,FALSE,"Tran"}</definedName>
    <definedName name="P01E">#REF!</definedName>
    <definedName name="P01E1">#REF!</definedName>
    <definedName name="P01E2">#REF!</definedName>
    <definedName name="P01E3">#REF!</definedName>
    <definedName name="P01E6">#REF!</definedName>
    <definedName name="P01E7">#REF!</definedName>
    <definedName name="P01E8">#REF!</definedName>
    <definedName name="P01E9">#REF!</definedName>
    <definedName name="P01G">#REF!</definedName>
    <definedName name="P01G1">#REF!</definedName>
    <definedName name="P01G2">#REF!</definedName>
    <definedName name="P01G3">#REF!</definedName>
    <definedName name="P01G4">#REF!</definedName>
    <definedName name="P01G5">#REF!</definedName>
    <definedName name="P01G6">#REF!</definedName>
    <definedName name="P01G7">#REF!</definedName>
    <definedName name="P01G8">#REF!</definedName>
    <definedName name="P01G9">#REF!</definedName>
    <definedName name="P02E">#REF!</definedName>
    <definedName name="P02E1">#REF!</definedName>
    <definedName name="P02E2">#REF!</definedName>
    <definedName name="P02E3">#REF!</definedName>
    <definedName name="P02E6">#REF!</definedName>
    <definedName name="P02E7">#REF!</definedName>
    <definedName name="P02E8">#REF!</definedName>
    <definedName name="P02E9">#REF!</definedName>
    <definedName name="P02G">#REF!</definedName>
    <definedName name="P02G1">#REF!</definedName>
    <definedName name="P02G2">#REF!</definedName>
    <definedName name="P02G3">#REF!</definedName>
    <definedName name="P02G4">#REF!</definedName>
    <definedName name="P02G6">#REF!</definedName>
    <definedName name="P02G7">#REF!</definedName>
    <definedName name="P02G8">#REF!</definedName>
    <definedName name="P02G9">#REF!</definedName>
    <definedName name="P03E">#REF!</definedName>
    <definedName name="P03G">#REF!</definedName>
    <definedName name="P03G1">#REF!</definedName>
    <definedName name="P03G2">#REF!</definedName>
    <definedName name="P03G3">#REF!</definedName>
    <definedName name="P03G4">#REF!</definedName>
    <definedName name="P03G6">#REF!</definedName>
    <definedName name="P03G7">#REF!</definedName>
    <definedName name="P03G8">#REF!</definedName>
    <definedName name="P03G9">#REF!</definedName>
    <definedName name="P04E">#REF!</definedName>
    <definedName name="P04E2">#REF!</definedName>
    <definedName name="P04G">#REF!</definedName>
    <definedName name="P04G1">#REF!</definedName>
    <definedName name="P04G2">#REF!</definedName>
    <definedName name="P04G3">#REF!</definedName>
    <definedName name="P04G4">#REF!</definedName>
    <definedName name="P04G6">#REF!</definedName>
    <definedName name="P04G7">#REF!</definedName>
    <definedName name="P04G8">#REF!</definedName>
    <definedName name="P04G9">#REF!</definedName>
    <definedName name="P04R3">#REF!</definedName>
    <definedName name="P04R4">#REF!</definedName>
    <definedName name="P05E">#REF!</definedName>
    <definedName name="P05G">#REF!</definedName>
    <definedName name="P05G1">#REF!</definedName>
    <definedName name="P05G2">#REF!</definedName>
    <definedName name="P05G3">#REF!</definedName>
    <definedName name="P05G4">#REF!</definedName>
    <definedName name="P05G6">#REF!</definedName>
    <definedName name="P05G7">#REF!</definedName>
    <definedName name="P05G8">#REF!</definedName>
    <definedName name="P05G9">#REF!</definedName>
    <definedName name="P05R1">#REF!</definedName>
    <definedName name="P05R5">#REF!</definedName>
    <definedName name="P05R9">#REF!</definedName>
    <definedName name="P06E">#REF!</definedName>
    <definedName name="P06G">#REF!</definedName>
    <definedName name="P06G1">#REF!</definedName>
    <definedName name="P06G2">#REF!</definedName>
    <definedName name="P06G3">#REF!</definedName>
    <definedName name="P06G4">#REF!</definedName>
    <definedName name="P06G6">#REF!</definedName>
    <definedName name="P06G7">#REF!</definedName>
    <definedName name="P06G8">#REF!</definedName>
    <definedName name="P06G9">#REF!</definedName>
    <definedName name="P06R6">#REF!</definedName>
    <definedName name="P06R9">#REF!</definedName>
    <definedName name="P07E">#REF!</definedName>
    <definedName name="P07E1">#REF!</definedName>
    <definedName name="P07E2">#REF!</definedName>
    <definedName name="P07E3">#REF!</definedName>
    <definedName name="P07E6">#REF!</definedName>
    <definedName name="P07E7">#REF!</definedName>
    <definedName name="P07E8">#REF!</definedName>
    <definedName name="P07E9">#REF!</definedName>
    <definedName name="P07G">#REF!</definedName>
    <definedName name="P07G1">#REF!</definedName>
    <definedName name="P07G2">#REF!</definedName>
    <definedName name="P07G3">#REF!</definedName>
    <definedName name="P07G4">#REF!</definedName>
    <definedName name="P07G6">#REF!</definedName>
    <definedName name="P07G7">#REF!</definedName>
    <definedName name="P07G8">#REF!</definedName>
    <definedName name="P07G9">#REF!</definedName>
    <definedName name="P07R4">#REF!</definedName>
    <definedName name="P07R9">#REF!</definedName>
    <definedName name="P08E">#REF!</definedName>
    <definedName name="P08G">#REF!</definedName>
    <definedName name="P08G1">#REF!</definedName>
    <definedName name="P08G2">#REF!</definedName>
    <definedName name="P08G3">#REF!</definedName>
    <definedName name="P08G4">#REF!</definedName>
    <definedName name="P08G6">#REF!</definedName>
    <definedName name="P08G7">#REF!</definedName>
    <definedName name="P08G8">#REF!</definedName>
    <definedName name="P08G9">#REF!</definedName>
    <definedName name="P08R2">#REF!</definedName>
    <definedName name="P08R9">#REF!</definedName>
    <definedName name="P09E">#REF!</definedName>
    <definedName name="P09G">#REF!</definedName>
    <definedName name="P09G1">#REF!</definedName>
    <definedName name="P09G2">#REF!</definedName>
    <definedName name="P09G3">#REF!</definedName>
    <definedName name="P09G4">#REF!</definedName>
    <definedName name="P09G6">#REF!</definedName>
    <definedName name="P09G7">#REF!</definedName>
    <definedName name="P09G8">#REF!</definedName>
    <definedName name="P09G9">#REF!</definedName>
    <definedName name="P1E">#REF!</definedName>
    <definedName name="P1E1">#REF!</definedName>
    <definedName name="P1E2">#REF!</definedName>
    <definedName name="P1E3">#REF!</definedName>
    <definedName name="P1E4">#REF!</definedName>
    <definedName name="P1E6">#REF!</definedName>
    <definedName name="P1E7">#REF!</definedName>
    <definedName name="P1E8">#REF!</definedName>
    <definedName name="P1E9">#REF!</definedName>
    <definedName name="P1F">#REF!</definedName>
    <definedName name="P1NF">#REF!</definedName>
    <definedName name="P2E">#REF!</definedName>
    <definedName name="P2E1">#REF!</definedName>
    <definedName name="P2E2">#REF!</definedName>
    <definedName name="P2E3">#REF!</definedName>
    <definedName name="P2E4">#REF!</definedName>
    <definedName name="P2E6">#REF!</definedName>
    <definedName name="P2E7">#REF!</definedName>
    <definedName name="P2E8">#REF!</definedName>
    <definedName name="P2E9">#REF!</definedName>
    <definedName name="P2F">#REF!</definedName>
    <definedName name="P2NF">#REF!</definedName>
    <definedName name="P3E">#REF!</definedName>
    <definedName name="P3E1">#REF!</definedName>
    <definedName name="P3E2">#REF!</definedName>
    <definedName name="P3E3">#REF!</definedName>
    <definedName name="P3E4">#REF!</definedName>
    <definedName name="P3E6">#REF!</definedName>
    <definedName name="P3E7">#REF!</definedName>
    <definedName name="P3E8">#REF!</definedName>
    <definedName name="P3E9">#REF!</definedName>
    <definedName name="P3F">#REF!</definedName>
    <definedName name="P3NF">#REF!</definedName>
    <definedName name="P4E">#REF!</definedName>
    <definedName name="P4E1">#REF!</definedName>
    <definedName name="P4E2">#REF!</definedName>
    <definedName name="P4E3">#REF!</definedName>
    <definedName name="P4E4">#REF!</definedName>
    <definedName name="P4E6">#REF!</definedName>
    <definedName name="P4E7">#REF!</definedName>
    <definedName name="P4E8">#REF!</definedName>
    <definedName name="P4E9">#REF!</definedName>
    <definedName name="P4F">#REF!</definedName>
    <definedName name="P4NF">#REF!</definedName>
    <definedName name="P5E">#REF!</definedName>
    <definedName name="P5E1">#REF!</definedName>
    <definedName name="P5E2">#REF!</definedName>
    <definedName name="P5E3">#REF!</definedName>
    <definedName name="P5E4">#REF!</definedName>
    <definedName name="P5E6">#REF!</definedName>
    <definedName name="P5E7">#REF!</definedName>
    <definedName name="P5E8">#REF!</definedName>
    <definedName name="P5E9">#REF!</definedName>
    <definedName name="P5F">#REF!</definedName>
    <definedName name="P5NF">#REF!</definedName>
    <definedName name="P6E">#REF!</definedName>
    <definedName name="P6E1">#REF!</definedName>
    <definedName name="P6E2">#REF!</definedName>
    <definedName name="P6E3">#REF!</definedName>
    <definedName name="P6E4">#REF!</definedName>
    <definedName name="P6E6">#REF!</definedName>
    <definedName name="P6E7">#REF!</definedName>
    <definedName name="P6E8">#REF!</definedName>
    <definedName name="P6E9">#REF!</definedName>
    <definedName name="P6F">#REF!</definedName>
    <definedName name="P6NF">#REF!</definedName>
    <definedName name="P7E">#REF!</definedName>
    <definedName name="P7E1">#REF!</definedName>
    <definedName name="P7E2">#REF!</definedName>
    <definedName name="P7E3">#REF!</definedName>
    <definedName name="P7E4">#REF!</definedName>
    <definedName name="P7E6">#REF!</definedName>
    <definedName name="P7E7">#REF!</definedName>
    <definedName name="P7E8">#REF!</definedName>
    <definedName name="P7E9">#REF!</definedName>
    <definedName name="P7F">#REF!</definedName>
    <definedName name="P7NF">#REF!</definedName>
    <definedName name="P8E">#REF!</definedName>
    <definedName name="P8E1">#REF!</definedName>
    <definedName name="P8E2">#REF!</definedName>
    <definedName name="P8E3">#REF!</definedName>
    <definedName name="P8E4">#REF!</definedName>
    <definedName name="P8E6">#REF!</definedName>
    <definedName name="P8E7">#REF!</definedName>
    <definedName name="P8E8">#REF!</definedName>
    <definedName name="P8E9">#REF!</definedName>
    <definedName name="P8F">#REF!</definedName>
    <definedName name="P8NF">#REF!</definedName>
    <definedName name="P9E">#REF!</definedName>
    <definedName name="P9E4">#REF!</definedName>
    <definedName name="P9E7">#REF!</definedName>
    <definedName name="PADRON05">#REF!</definedName>
    <definedName name="PagoFracc03">#REF!</definedName>
    <definedName name="PagosFraccionados">#REF!</definedName>
    <definedName name="PAI_TIPORED">OFFSET(#REF!,1,0,#REF!)</definedName>
    <definedName name="PAI_TIPORED_SA">OFFSET(#REF!,1,0,#REF!)</definedName>
    <definedName name="PASO_BD">#REF!</definedName>
    <definedName name="pct10_GCF_ListaNombres">#REF!</definedName>
    <definedName name="PE_CN_T">#REF!</definedName>
    <definedName name="PEST">#REF!</definedName>
    <definedName name="PEST1">#REF!</definedName>
    <definedName name="PEST2">#REF!</definedName>
    <definedName name="PEST3">#REF!</definedName>
    <definedName name="PEST4">#REF!</definedName>
    <definedName name="PEST6">#REF!</definedName>
    <definedName name="PEST7">#REF!</definedName>
    <definedName name="PEST8">#REF!</definedName>
    <definedName name="PEST9">#REF!</definedName>
    <definedName name="PESTF">#REF!</definedName>
    <definedName name="PESTNF">#REF!</definedName>
    <definedName name="PictureW" localSheetId="5">#REF!</definedName>
    <definedName name="PictureW" localSheetId="6">#REF!</definedName>
    <definedName name="PictureW" localSheetId="11">#REF!</definedName>
    <definedName name="PictureW">#REF!</definedName>
    <definedName name="pit" localSheetId="6">{"Riqfin97",#N/A,FALSE,"Tran";"Riqfinpro",#N/A,FALSE,"Tran"}</definedName>
    <definedName name="pit" localSheetId="11">{"Riqfin97",#N/A,FALSE,"Tran";"Riqfinpro",#N/A,FALSE,"Tran"}</definedName>
    <definedName name="pit">{"Riqfin97",#N/A,FALSE,"Tran";"Riqfinpro",#N/A,FALSE,"Tran"}</definedName>
    <definedName name="POB99_05">#REF!</definedName>
    <definedName name="pol">#REF!</definedName>
    <definedName name="POMUTUA99_05">#REF!</definedName>
    <definedName name="popl">#REF!</definedName>
    <definedName name="PORCENTAJE">#REF!</definedName>
    <definedName name="pp" localSheetId="6">{"Riqfin97",#N/A,FALSE,"Tran";"Riqfinpro",#N/A,FALSE,"Tran"}</definedName>
    <definedName name="pp" localSheetId="11">{"Riqfin97",#N/A,FALSE,"Tran";"Riqfinpro",#N/A,FALSE,"Tran"}</definedName>
    <definedName name="pp">{"Riqfin97",#N/A,FALSE,"Tran";"Riqfinpro",#N/A,FALSE,"Tran"}</definedName>
    <definedName name="PP99_05">#REF!</definedName>
    <definedName name="ppp" localSheetId="6">{"Riqfin97",#N/A,FALSE,"Tran";"Riqfinpro",#N/A,FALSE,"Tran"}</definedName>
    <definedName name="ppp" localSheetId="11">{"Riqfin97",#N/A,FALSE,"Tran";"Riqfinpro",#N/A,FALSE,"Tran"}</definedName>
    <definedName name="ppp">{"Riqfin97",#N/A,FALSE,"Tran";"Riqfinpro",#N/A,FALSE,"Tran"}</definedName>
    <definedName name="pppppp" localSheetId="6">{"Riqfin97",#N/A,FALSE,"Tran";"Riqfinpro",#N/A,FALSE,"Tran"}</definedName>
    <definedName name="pppppp" localSheetId="11">{"Riqfin97",#N/A,FALSE,"Tran";"Riqfinpro",#N/A,FALSE,"Tran"}</definedName>
    <definedName name="pppppp">{"Riqfin97",#N/A,FALSE,"Tran";"Riqfinpro",#N/A,FALSE,"Tran"}</definedName>
    <definedName name="PPPPPPPPP" localSheetId="6" hidden="1">{#N/A,#N/A,FALSE,"Exhibits 5-7"}</definedName>
    <definedName name="PPPPPPPPP" localSheetId="11" hidden="1">{#N/A,#N/A,FALSE,"Exhibits 5-7"}</definedName>
    <definedName name="PPPPPPPPP" hidden="1">{#N/A,#N/A,FALSE,"Exhibits 5-7"}</definedName>
    <definedName name="Ppto">#REF!</definedName>
    <definedName name="Precios_ListaNombres">#REF!</definedName>
    <definedName name="PRIMERA">#REF!</definedName>
    <definedName name="Print1">#REF!</definedName>
    <definedName name="PTAS_GTO_ACTIVOS">#REF!</definedName>
    <definedName name="PTAS_GTO_PENSIONISTAS">#REF!</definedName>
    <definedName name="PTAS_GTO_TOTAL">#REF!</definedName>
    <definedName name="PTO.2000">#REF!</definedName>
    <definedName name="PVP_TAB_CAJ">OFFSET(#REF!,1,0,#REF!)</definedName>
    <definedName name="PVP_TAB_CAJ_SA">OFFSET(#REF!,1,0,#REF!)</definedName>
    <definedName name="PVP_TABCAJ_EURO_KG">OFFSET(#REF!,1,0,#REF!)</definedName>
    <definedName name="PVP_TABCAJ_EURO_KG_SA">OFFSET(#REF!,1,0,#REF!)</definedName>
    <definedName name="PVP_TABRESTO">OFFSET(#REF!,1,0,#REF!)</definedName>
    <definedName name="PVP_TABRESTO_SA">OFFSET(#REF!,1,0,#REF!)</definedName>
    <definedName name="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az" localSheetId="6">{"Tab1",#N/A,FALSE,"P";"Tab2",#N/A,FALSE,"P"}</definedName>
    <definedName name="qaz" localSheetId="11">{"Tab1",#N/A,FALSE,"P";"Tab2",#N/A,FALSE,"P"}</definedName>
    <definedName name="qaz">{"Tab1",#N/A,FALSE,"P";"Tab2",#N/A,FALSE,"P"}</definedName>
    <definedName name="qer" localSheetId="6">{"Tab1",#N/A,FALSE,"P";"Tab2",#N/A,FALSE,"P"}</definedName>
    <definedName name="qer" localSheetId="11">{"Tab1",#N/A,FALSE,"P";"Tab2",#N/A,FALSE,"P"}</definedName>
    <definedName name="qer">{"Tab1",#N/A,FALSE,"P";"Tab2",#N/A,FALSE,"P"}</definedName>
    <definedName name="qq">#REF!</definedName>
    <definedName name="qqq" localSheetId="6">{"Minpmon",#N/A,FALSE,"Monthinput"}</definedName>
    <definedName name="qqq" localSheetId="11">{"Minpmon",#N/A,FALSE,"Monthinput"}</definedName>
    <definedName name="qqq">{"Minpmon",#N/A,FALSE,"Monthinput"}</definedName>
    <definedName name="qqqqq" localSheetId="6">{"Minpmon",#N/A,FALSE,"Monthinput"}</definedName>
    <definedName name="qqqqq" localSheetId="11">{"Minpmon",#N/A,FALSE,"Monthinput"}</definedName>
    <definedName name="qqqqq">{"Minpmon",#N/A,FALSE,"Monthinput"}</definedName>
    <definedName name="qqqqqq" localSheetId="6">{"Riqfin97",#N/A,FALSE,"Tran";"Riqfinpro",#N/A,FALSE,"Tran"}</definedName>
    <definedName name="qqqqqq" localSheetId="11">{"Riqfin97",#N/A,FALSE,"Tran";"Riqfinpro",#N/A,FALSE,"Tran"}</definedName>
    <definedName name="qqqqqq">{"Riqfin97",#N/A,FALSE,"Tran";"Riqfinpro",#N/A,FALSE,"Tran"}</definedName>
    <definedName name="qqqqqqq" localSheetId="6" hidden="1">{#N/A,#N/A,FALSE,"PERSONAL";#N/A,#N/A,FALSE,"explotación";#N/A,#N/A,FALSE,"generales"}</definedName>
    <definedName name="qqqqqqq" localSheetId="11" hidden="1">{#N/A,#N/A,FALSE,"PERSONAL";#N/A,#N/A,FALSE,"explotación";#N/A,#N/A,FALSE,"generales"}</definedName>
    <definedName name="qqqqqqq" hidden="1">{#N/A,#N/A,FALSE,"PERSONAL";#N/A,#N/A,FALSE,"explotación";#N/A,#N/A,FALSE,"generales"}</definedName>
    <definedName name="qqqqqqqq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" localSheetId="6">{"Riqfin97",#N/A,FALSE,"Tran";"Riqfinpro",#N/A,FALSE,"Tran"}</definedName>
    <definedName name="qqqqqqqqqq" localSheetId="11">{"Riqfin97",#N/A,FALSE,"Tran";"Riqfinpro",#N/A,FALSE,"Tran"}</definedName>
    <definedName name="qqqqqqqqqq">{"Riqfin97",#N/A,FALSE,"Tran";"Riqfinpro",#N/A,FALSE,"Tran"}</definedName>
    <definedName name="qqqqqqqqqqqqq">#REF!,#REF!,#REF!,#REF!,#REF!,#REF!</definedName>
    <definedName name="qqqqqqqqqqqqqq">#REF!,#REF!,#REF!</definedName>
    <definedName name="qqqqqqqqqqqqqqqqqq">#REF!,#REF!,#REF!</definedName>
    <definedName name="quevale">#REF!</definedName>
    <definedName name="qwer" localSheetId="6">{"Tab1",#N/A,FALSE,"P";"Tab2",#N/A,FALSE,"P"}</definedName>
    <definedName name="qwer" localSheetId="11">{"Tab1",#N/A,FALSE,"P";"Tab2",#N/A,FALSE,"P"}</definedName>
    <definedName name="qwer">{"Tab1",#N/A,FALSE,"P";"Tab2",#N/A,FALSE,"P"}</definedName>
    <definedName name="rango">#REF!</definedName>
    <definedName name="raw">#REF!</definedName>
    <definedName name="re">#N/A</definedName>
    <definedName name="REC">#REF!</definedName>
    <definedName name="RECETAS_ACTIVOS">#REF!</definedName>
    <definedName name="RECETAS_PENSIONISTAS">#REF!</definedName>
    <definedName name="RECETAS_TOTAL">#REF!</definedName>
    <definedName name="RefVintage">#REF!</definedName>
    <definedName name="regdata">#REF!</definedName>
    <definedName name="Resto_de_ingresos">#REF!</definedName>
    <definedName name="RESULT">#REF!</definedName>
    <definedName name="Resumen">#REF!</definedName>
    <definedName name="rewrwe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f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t" localSheetId="6">{"Riqfin97",#N/A,FALSE,"Tran";"Riqfinpro",#N/A,FALSE,"Tran"}</definedName>
    <definedName name="rft" localSheetId="11">{"Riqfin97",#N/A,FALSE,"Tran";"Riqfinpro",#N/A,FALSE,"Tran"}</definedName>
    <definedName name="rft">{"Riqfin97",#N/A,FALSE,"Tran";"Riqfinpro",#N/A,FALSE,"Tran"}</definedName>
    <definedName name="rfv" localSheetId="6">{"Tab1",#N/A,FALSE,"P";"Tab2",#N/A,FALSE,"P"}</definedName>
    <definedName name="rfv" localSheetId="11">{"Tab1",#N/A,FALSE,"P";"Tab2",#N/A,FALSE,"P"}</definedName>
    <definedName name="rfv">{"Tab1",#N/A,FALSE,"P";"Tab2",#N/A,FALSE,"P"}</definedName>
    <definedName name="RiskBeforeRecalcMacro" hidden="1">""</definedName>
    <definedName name="RiskBeforeSimMacro" hidden="1">"Before"</definedName>
    <definedName name="RiskCollectDistributionSamples" hidden="1">2</definedName>
    <definedName name="RiskMinimizeOnStart" hidden="1">FALSE</definedName>
    <definedName name="RiskMonitorConvergence" hidden="1">FALSE</definedName>
    <definedName name="RiskRunAfterRecalcMacro" hidden="1">FALSE</definedName>
    <definedName name="RN">#REF!</definedName>
    <definedName name="ROSA">#REF!</definedName>
    <definedName name="ROT">#REF!</definedName>
    <definedName name="rr" localSheetId="6">{"Riqfin97",#N/A,FALSE,"Tran";"Riqfinpro",#N/A,FALSE,"Tran"}</definedName>
    <definedName name="rr" localSheetId="11">{"Riqfin97",#N/A,FALSE,"Tran";"Riqfinpro",#N/A,FALSE,"Tran"}</definedName>
    <definedName name="rr">{"Riqfin97",#N/A,FALSE,"Tran";"Riqfinpro",#N/A,FALSE,"Tran"}</definedName>
    <definedName name="RREE">#REF!</definedName>
    <definedName name="rrr" localSheetId="6">{"Riqfin97",#N/A,FALSE,"Tran";"Riqfinpro",#N/A,FALSE,"Tran"}</definedName>
    <definedName name="rrr" localSheetId="11">{"Riqfin97",#N/A,FALSE,"Tran";"Riqfinpro",#N/A,FALSE,"Tran"}</definedName>
    <definedName name="rrr">{"Riqfin97",#N/A,FALSE,"Tran";"Riqfinpro",#N/A,FALSE,"Tran"}</definedName>
    <definedName name="rrrgg" localSheetId="6">{"Riqfin97",#N/A,FALSE,"Tran";"Riqfinpro",#N/A,FALSE,"Tran"}</definedName>
    <definedName name="rrrgg" localSheetId="11">{"Riqfin97",#N/A,FALSE,"Tran";"Riqfinpro",#N/A,FALSE,"Tran"}</definedName>
    <definedName name="rrrgg">{"Riqfin97",#N/A,FALSE,"Tran";"Riqfinpro",#N/A,FALSE,"Tran"}</definedName>
    <definedName name="rrrr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>{"Tab1",#N/A,FALSE,"P";"Tab2",#N/A,FALSE,"P"}</definedName>
    <definedName name="rrrrrr" localSheetId="11">{"Tab1",#N/A,FALSE,"P";"Tab2",#N/A,FALSE,"P"}</definedName>
    <definedName name="rrrrrr">{"Tab1",#N/A,FALSE,"P";"Tab2",#N/A,FALSE,"P"}</definedName>
    <definedName name="rrrrrrr" localSheetId="6">{"Tab1",#N/A,FALSE,"P";"Tab2",#N/A,FALSE,"P"}</definedName>
    <definedName name="rrrrrrr" localSheetId="11">{"Tab1",#N/A,FALSE,"P";"Tab2",#N/A,FALSE,"P"}</definedName>
    <definedName name="rrrrrrr">{"Tab1",#N/A,FALSE,"P";"Tab2",#N/A,FALSE,"P"}</definedName>
    <definedName name="rt" localSheetId="6">{"Minpmon",#N/A,FALSE,"Monthinput"}</definedName>
    <definedName name="rt" localSheetId="11">{"Minpmon",#N/A,FALSE,"Monthinput"}</definedName>
    <definedName name="rt">{"Minpmon",#N/A,FALSE,"Monthinput"}</definedName>
    <definedName name="rte" localSheetId="6">{"Riqfin97",#N/A,FALSE,"Tran";"Riqfinpro",#N/A,FALSE,"Tran"}</definedName>
    <definedName name="rte" localSheetId="11">{"Riqfin97",#N/A,FALSE,"Tran";"Riqfinpro",#N/A,FALSE,"Tran"}</definedName>
    <definedName name="rte">{"Riqfin97",#N/A,FALSE,"Tran";"Riqfinpro",#N/A,FALSE,"Tran"}</definedName>
    <definedName name="rtre" localSheetId="6">{"Main Economic Indicators",#N/A,FALSE,"C"}</definedName>
    <definedName name="rtre" localSheetId="11">{"Main Economic Indicators",#N/A,FALSE,"C"}</definedName>
    <definedName name="rtre">{"Main Economic Indicators",#N/A,FALSE,"C"}</definedName>
    <definedName name="rty" localSheetId="6">{"Riqfin97",#N/A,FALSE,"Tran";"Riqfinpro",#N/A,FALSE,"Tran"}</definedName>
    <definedName name="rty" localSheetId="11">{"Riqfin97",#N/A,FALSE,"Tran";"Riqfinpro",#N/A,FALSE,"Tran"}</definedName>
    <definedName name="rty">{"Riqfin97",#N/A,FALSE,"Tran";"Riqfinpro",#N/A,FALSE,"Tran"}</definedName>
    <definedName name="Rwvu.Export.">#REF!,#REF!</definedName>
    <definedName name="Rwvu.IMPORT.">#REF!</definedName>
    <definedName name="Rwvu.PLA2.">#REF!</definedName>
    <definedName name="Rwvu.Print.">#N/A</definedName>
    <definedName name="Rwvu.sa97." hidden="1">#REF!,#REF!,#REF!,#REF!</definedName>
    <definedName name="rx">#REF!</definedName>
    <definedName name="ry">#REF!</definedName>
    <definedName name="s" hidden="1">#REF!</definedName>
    <definedName name="sad" localSheetId="6">{"Riqfin97",#N/A,FALSE,"Tran";"Riqfinpro",#N/A,FALSE,"Tran"}</definedName>
    <definedName name="sad" localSheetId="11">{"Riqfin97",#N/A,FALSE,"Tran";"Riqfinpro",#N/A,FALSE,"Tran"}</definedName>
    <definedName name="sad">{"Riqfin97",#N/A,FALSE,"Tran";"Riqfinpro",#N/A,FALSE,"Tran"}</definedName>
    <definedName name="SALIDA">#REF!</definedName>
    <definedName name="SAPBEXrevision" hidden="1">3</definedName>
    <definedName name="SAPBEXsysID" hidden="1">"BWP"</definedName>
    <definedName name="SAPBEXwbID" hidden="1">"BBI79TXTC37FA83KVZYUD8LJY"</definedName>
    <definedName name="sar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SASQS">#REF!</definedName>
    <definedName name="sdf" localSheetId="6">{"Main Economic Indicators",#N/A,FALSE,"C"}</definedName>
    <definedName name="sdf" localSheetId="11">{"Main Economic Indicators",#N/A,FALSE,"C"}</definedName>
    <definedName name="sdf">{"Main Economic Indicators",#N/A,FALSE,"C"}</definedName>
    <definedName name="sdfsdghsa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kljsdklf" localSheetId="6" hidden="1">{"Main Economic Indicators",#N/A,FALSE,"C"}</definedName>
    <definedName name="sdkljsdklf" localSheetId="11" hidden="1">{"Main Economic Indicators",#N/A,FALSE,"C"}</definedName>
    <definedName name="sdkljsdklf" hidden="1">{"Main Economic Indicators",#N/A,FALSE,"C"}</definedName>
    <definedName name="sdr" localSheetId="6">{"Riqfin97",#N/A,FALSE,"Tran";"Riqfinpro",#N/A,FALSE,"Tran"}</definedName>
    <definedName name="sdr" localSheetId="11">{"Riqfin97",#N/A,FALSE,"Tran";"Riqfinpro",#N/A,FALSE,"Tran"}</definedName>
    <definedName name="sdr">{"Riqfin97",#N/A,FALSE,"Tran";"Riqfinpro",#N/A,FALSE,"Tran"}</definedName>
    <definedName name="sdsd" localSheetId="6">{"Riqfin97",#N/A,FALSE,"Tran";"Riqfinpro",#N/A,FALSE,"Tran"}</definedName>
    <definedName name="sdsd" localSheetId="11">{"Riqfin97",#N/A,FALSE,"Tran";"Riqfinpro",#N/A,FALSE,"Tran"}</definedName>
    <definedName name="sdsd">{"Riqfin97",#N/A,FALSE,"Tran";"Riqfinpro",#N/A,FALSE,"Tran"}</definedName>
    <definedName name="sencount" hidden="1">1</definedName>
    <definedName name="SEPTIEMBRE">#REF!</definedName>
    <definedName name="ser" localSheetId="6">{"Riqfin97",#N/A,FALSE,"Tran";"Riqfinpro",#N/A,FALSE,"Tran"}</definedName>
    <definedName name="ser" localSheetId="11">{"Riqfin97",#N/A,FALSE,"Tran";"Riqfinpro",#N/A,FALSE,"Tran"}</definedName>
    <definedName name="ser">{"Riqfin97",#N/A,FALSE,"Tran";"Riqfinpro",#N/A,FALSE,"Tran"}</definedName>
    <definedName name="SIM">#REF!</definedName>
    <definedName name="Sino">#REF!</definedName>
    <definedName name="solver_adj" hidden="1">#REF!</definedName>
    <definedName name="solver_lhs1" hidden="1">#REF!</definedName>
    <definedName name="solver_lin">0</definedName>
    <definedName name="solver_num">0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>1</definedName>
    <definedName name="solver_val">0</definedName>
    <definedName name="SR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aff" localSheetId="6">{"CBA",#N/A,FALSE,"TAB4";"MS",#N/A,FALSE,"TAB5";"BANKLOANS",#N/A,FALSE,"TAB21APP ";"INTEREST",#N/A,FALSE,"TAB22APP"}</definedName>
    <definedName name="sraff" localSheetId="11">{"CBA",#N/A,FALSE,"TAB4";"MS",#N/A,FALSE,"TAB5";"BANKLOANS",#N/A,FALSE,"TAB21APP ";"INTEREST",#N/A,FALSE,"TAB22APP"}</definedName>
    <definedName name="sraff">{"CBA",#N/A,FALSE,"TAB4";"MS",#N/A,FALSE,"TAB5";"BANKLOANS",#N/A,FALSE,"TAB21APP ";"INTEREST",#N/A,FALSE,"TAB22APP"}</definedName>
    <definedName name="srv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S" localSheetId="6" hidden="1">{"Dif tabajo",#N/A,FALSE,"C. mobiliario";"Difi mobiliario",#N/A,FALSE,"C. mobiliario"}</definedName>
    <definedName name="SS" localSheetId="11" hidden="1">{"Dif tabajo",#N/A,FALSE,"C. mobiliario";"Difi mobiliario",#N/A,FALSE,"C. mobiliario"}</definedName>
    <definedName name="SS" hidden="1">{"Dif tabajo",#N/A,FALSE,"C. mobiliario";"Difi mobiliario",#N/A,FALSE,"C. mobiliario"}</definedName>
    <definedName name="sss" hidden="1">#REF!</definedName>
    <definedName name="ssss" localSheetId="6">{"Riqfin97",#N/A,FALSE,"Tran";"Riqfinpro",#N/A,FALSE,"Tran"}</definedName>
    <definedName name="ssss" localSheetId="11">{"Riqfin97",#N/A,FALSE,"Tran";"Riqfinpro",#N/A,FALSE,"Tran"}</definedName>
    <definedName name="ssss">{"Riqfin97",#N/A,FALSE,"Tran";"Riqfinpro",#N/A,FALSE,"Tran"}</definedName>
    <definedName name="sssssss" localSheetId="6" hidden="1">{#N/A,#N/A,FALSE,"PERSONAL";#N/A,#N/A,FALSE,"explotación";#N/A,#N/A,FALSE,"generales"}</definedName>
    <definedName name="sssssss" localSheetId="11" hidden="1">{#N/A,#N/A,FALSE,"PERSONAL";#N/A,#N/A,FALSE,"explotación";#N/A,#N/A,FALSE,"generales"}</definedName>
    <definedName name="sssssss" hidden="1">{#N/A,#N/A,FALSE,"PERSONAL";#N/A,#N/A,FALSE,"explotación";#N/A,#N/A,FALSE,"generales"}</definedName>
    <definedName name="StatusTable">#REF!</definedName>
    <definedName name="STUB">#REF!</definedName>
    <definedName name="summary">#REF!</definedName>
    <definedName name="sw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e" localSheetId="6">{"Tab1",#N/A,FALSE,"P";"Tab2",#N/A,FALSE,"P"}</definedName>
    <definedName name="swe" localSheetId="11">{"Tab1",#N/A,FALSE,"P";"Tab2",#N/A,FALSE,"P"}</definedName>
    <definedName name="swe">{"Tab1",#N/A,FALSE,"P";"Tab2",#N/A,FALSE,"P"}</definedName>
    <definedName name="Swvu.PLA1.">#REF!</definedName>
    <definedName name="Swvu.PLA2.">#REF!</definedName>
    <definedName name="Swvu.Print.">#REF!</definedName>
    <definedName name="sxc" localSheetId="6">{"Riqfin97",#N/A,FALSE,"Tran";"Riqfinpro",#N/A,FALSE,"Tran"}</definedName>
    <definedName name="sxc" localSheetId="11">{"Riqfin97",#N/A,FALSE,"Tran";"Riqfinpro",#N/A,FALSE,"Tran"}</definedName>
    <definedName name="sxc">{"Riqfin97",#N/A,FALSE,"Tran";"Riqfinpro",#N/A,FALSE,"Tran"}</definedName>
    <definedName name="sxe" localSheetId="6">{"Riqfin97",#N/A,FALSE,"Tran";"Riqfinpro",#N/A,FALSE,"Tran"}</definedName>
    <definedName name="sxe" localSheetId="11">{"Riqfin97",#N/A,FALSE,"Tran";"Riqfinpro",#N/A,FALSE,"Tran"}</definedName>
    <definedName name="sxe">{"Riqfin97",#N/A,FALSE,"Tran";"Riqfinpro",#N/A,FALSE,"Tran"}</definedName>
    <definedName name="t">#REF!</definedName>
    <definedName name="T0" localSheetId="6" hidden="1">{"Main Economic Indicators",#N/A,FALSE,"C"}</definedName>
    <definedName name="T0" localSheetId="11" hidden="1">{"Main Economic Indicators",#N/A,FALSE,"C"}</definedName>
    <definedName name="T0" hidden="1">{"Main Economic Indicators",#N/A,FALSE,"C"}</definedName>
    <definedName name="Tab_1">#REF!</definedName>
    <definedName name="Tabla_1">#REF!</definedName>
    <definedName name="TABLA1">#REF!</definedName>
    <definedName name="TABLA10">#REF!</definedName>
    <definedName name="TABLA11">#REF!</definedName>
    <definedName name="TABLA12">#REF!</definedName>
    <definedName name="TABLA13">#REF!</definedName>
    <definedName name="TABLA2">#REF!</definedName>
    <definedName name="TABLA3">#REF!</definedName>
    <definedName name="TABLA4">#REF!</definedName>
    <definedName name="TABLA5">#REF!</definedName>
    <definedName name="TABLA6">#REF!</definedName>
    <definedName name="TABLA6A">#REF!</definedName>
    <definedName name="TABLA6B">#REF!</definedName>
    <definedName name="TABLA6C">#REF!</definedName>
    <definedName name="TABLA7">#REF!</definedName>
    <definedName name="TABLA8">#REF!</definedName>
    <definedName name="TABLA9">#REF!</definedName>
    <definedName name="TABLAA">#REF!</definedName>
    <definedName name="TABLE_PRINT">#REF!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x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nou">#REF!</definedName>
    <definedName name="test" localSheetId="6">{"Riqfin97",#N/A,FALSE,"Tran";"Riqfinpro",#N/A,FALSE,"Tran"}</definedName>
    <definedName name="test" localSheetId="11">{"Riqfin97",#N/A,FALSE,"Tran";"Riqfinpro",#N/A,FALSE,"Tran"}</definedName>
    <definedName name="test">{"Riqfin97",#N/A,FALSE,"Tran";"Riqfinpro",#N/A,FALSE,"Tran"}</definedName>
    <definedName name="Tipo">#REF!</definedName>
    <definedName name="Tipo_ente">#REF!</definedName>
    <definedName name="Tipo_gastos">#REF!</definedName>
    <definedName name="TIPO_TAB_RESTO">OFFSET(#REF!,1,0,#REF!)</definedName>
    <definedName name="TIPO_TAB_RESTO_SA">OFFSET(#REF!,1,0,#REF!)</definedName>
    <definedName name="TIPO_TABACO_CAJ">OFFSET(#REF!,1,0,#REF!)</definedName>
    <definedName name="TIPO_TABACO_CAJ_SA">OFFSET(#REF!,1,0,#REF!)</definedName>
    <definedName name="Tipoingr12y3">#REF!</definedName>
    <definedName name="Tipoingr5">#REF!</definedName>
    <definedName name="Tipoingr6">#REF!</definedName>
    <definedName name="Tipoingrresto">#REF!</definedName>
    <definedName name="Tipoingrresto2">#REF!</definedName>
    <definedName name="TITULO">#REF!</definedName>
    <definedName name="_xlnm.Print_Titles">#REF!,#REF!</definedName>
    <definedName name="tj" localSheetId="6">{"Riqfin97",#N/A,FALSE,"Tran";"Riqfinpro",#N/A,FALSE,"Tran"}</definedName>
    <definedName name="tj" localSheetId="11">{"Riqfin97",#N/A,FALSE,"Tran";"Riqfinpro",#N/A,FALSE,"Tran"}</definedName>
    <definedName name="tj">{"Riqfin97",#N/A,FALSE,"Tran";"Riqfinpro",#N/A,FALSE,"Tran"}</definedName>
    <definedName name="TOP_BORDER">#REF!</definedName>
    <definedName name="TRANSFERENCIA">#REF!</definedName>
    <definedName name="tretry">#REF!</definedName>
    <definedName name="TRNR_00077168bfeb4787a04a24077a7f9554_100_6" hidden="1">#REF!</definedName>
    <definedName name="TRNR_0015023e16614492a6465392d8836cf7_527_6" hidden="1">#REF!</definedName>
    <definedName name="TRNR_00180e1425fc4e94abd36b943636d8dd_50_3" hidden="1">#REF!</definedName>
    <definedName name="TRNR_0021aed4c6ac40ad903d4577256d61b2_977_8" hidden="1">#REF!</definedName>
    <definedName name="TRNR_00416f55b4c146549083fac0e2f1b36b_61_2" hidden="1">#REF!</definedName>
    <definedName name="TRNR_004c2e116aab4e37a3938ae31173b906_61_2" hidden="1">#REF!</definedName>
    <definedName name="TRNR_008c5291a63e40aaab57544b095374f2_61_2" hidden="1">#REF!</definedName>
    <definedName name="TRNR_009dcc4e86b143f298882a896f197216_61_2" hidden="1">#REF!</definedName>
    <definedName name="TRNR_00af49f21fde428aa68decfd34a7d47c_61_2" hidden="1">#REF!</definedName>
    <definedName name="TRNR_00c4996074c546dc99257006b6bd8613_61_2" hidden="1">#REF!</definedName>
    <definedName name="TRNR_00c59e9c18dd4340a4f0e8132627e966_61_2" hidden="1">#REF!</definedName>
    <definedName name="TRNR_00cc8acb5e7d431d9f62cd4a4d76b36d_61_2" hidden="1">#REF!</definedName>
    <definedName name="TRNR_00d0bc5687d6441983d2e088150fe34e_1050_2" hidden="1">#REF!</definedName>
    <definedName name="TRNR_00d66cee1ecd4c19ac735794004f099f_6143_2" hidden="1">#REF!</definedName>
    <definedName name="TRNR_00e7e2ca3b254641a4a2f61ae018a7fd_61_2" hidden="1">#REF!</definedName>
    <definedName name="TRNR_00ea57a124f54d4f93581184a89b1cd6_32_9" hidden="1">#REF!</definedName>
    <definedName name="TRNR_00f38b1bed3149ed9817a69044c3ba93_61_2" hidden="1">#REF!</definedName>
    <definedName name="TRNR_00f3bed08ffb40ef9a0c081776cf9810_285_13" hidden="1">#REF!</definedName>
    <definedName name="TRNR_01000ece8e674048930da6bf31bba7b6_528_15" hidden="1">#REF!</definedName>
    <definedName name="TRNR_0110bed2b5724b2faf3bac080239beec_61_2" hidden="1">#REF!</definedName>
    <definedName name="TRNR_0121c24b07a647b996f8901cc8a389c7_61_2" hidden="1">#REF!</definedName>
    <definedName name="TRNR_01295e5c4a0748d3a63cbc44f65d82d8_2_1" hidden="1">#REF!</definedName>
    <definedName name="TRNR_01311af2071d469f954d45c89b38d97a_51_3" hidden="1">#REF!</definedName>
    <definedName name="TRNR_015219baba404752a8dc0783597a5990_61_2" hidden="1">#REF!</definedName>
    <definedName name="TRNR_0166126cd17c4908903dc29ffad88811_5_4" hidden="1">#REF!</definedName>
    <definedName name="TRNR_016ccead902b441cb3192e99a6492e08_61_2" hidden="1">#REF!</definedName>
    <definedName name="TRNR_01a2248e121647cc91e4cd0ea68a9bfc_311_10" hidden="1">#REF!</definedName>
    <definedName name="TRNR_01b1358649914c7da94d6922cf71215a_1_1" hidden="1">#REF!</definedName>
    <definedName name="TRNR_01b17a349c36455794de3b4aa7b339ed_309_3" hidden="1">#REF!</definedName>
    <definedName name="TRNR_01bfc66cd3dc4af4bb3395e633b31ef3_2_1" hidden="1">#REF!</definedName>
    <definedName name="TRNR_01c2df4ae83d45598083855412d0075e_6143_4" hidden="1">#REF!</definedName>
    <definedName name="TRNR_01d4d28bfd464e2bac3610d2cb898bc1_61_2" hidden="1">'[1]Gráfico 66'!#REF!</definedName>
    <definedName name="TRNR_01de3486d1cd4b11bde3d0502316f06b_25_6" hidden="1">#REF!</definedName>
    <definedName name="TRNR_01f2c1d01a9c4fa3a4f4d46972fd8bc9_61_2" hidden="1">'[1]Gráfico 66'!#REF!</definedName>
    <definedName name="TRNR_02065d5058884a9fb3841125fce485bb_61_2" hidden="1">#REF!</definedName>
    <definedName name="TRNR_020cff0f446649ed883520cc304af9a0_61_2" hidden="1">#REF!</definedName>
    <definedName name="TRNR_0218df726a7d430580e82ccc21d2471b_311_16" hidden="1">#REF!</definedName>
    <definedName name="TRNR_0228803dcb97468da022a34129ddba95_61_2" hidden="1">#REF!</definedName>
    <definedName name="TRNR_0236d493cff7406e80f56496487e6221_61_11" hidden="1">#REF!</definedName>
    <definedName name="TRNR_023aa718446c49108dabf1982ecd4f64_59_3" hidden="1">#REF!</definedName>
    <definedName name="TRNR_023c3d89435648ef810ee595009f425a_528_6" hidden="1">#REF!</definedName>
    <definedName name="TRNR_02446aaaeede42948904b495eb07e77a_61_2" hidden="1">#REF!</definedName>
    <definedName name="TRNR_0250951ab26548ee9846c2c3ec26e3c0_61_2" hidden="1">#REF!</definedName>
    <definedName name="TRNR_02510d8e39c94cae8f0cae9948934d58_61_2" hidden="1">#REF!</definedName>
    <definedName name="TRNR_0255046e915149898eb819341d273ace_1040_27" hidden="1">#REF!</definedName>
    <definedName name="TRNR_02667569d28d45fba5eddea2ef167129_61_2" hidden="1">#REF!</definedName>
    <definedName name="TRNR_027190dfda59474ab9c93240574d553f_100_6" hidden="1">#REF!</definedName>
    <definedName name="TRNR_027b89d69995457ca49f1b446f5b0ac0_61_6" hidden="1">#REF!</definedName>
    <definedName name="TRNR_0283bb1aea25425d85486b8c0881ac1b_2056_6" hidden="1">#REF!</definedName>
    <definedName name="TRNR_029f7ab118cd49e5a01f2b215e1af04f_61_2" hidden="1">#REF!</definedName>
    <definedName name="TRNR_02a582e90f864c83872237425faaaf6c_977_21" hidden="1">#REF!</definedName>
    <definedName name="TRNR_02a81ae09574487ab8183b9fb013f28c_61_2" hidden="1">#REF!</definedName>
    <definedName name="TRNR_02a9c2a634b34ab6a96f0df729918384_977_9" hidden="1">#REF!</definedName>
    <definedName name="TRNR_02bf18ad0b5f4354a2a6733b1e57861c_61_2" hidden="1">#REF!</definedName>
    <definedName name="TRNR_02c929c7aabd4c1e9be689c62dae1e79_6179_2" hidden="1">#REF!</definedName>
    <definedName name="TRNR_02df0c7971bd4af2bee25cbdbab71635_52_37" hidden="1">#REF!</definedName>
    <definedName name="TRNR_02e6b6f9c390494e9bea440bb14c6e7c_1022_27" hidden="1">#REF!</definedName>
    <definedName name="TRNR_02eac246ee0c40c5840e4dc9f4565ced_54_3" hidden="1">#REF!</definedName>
    <definedName name="TRNR_02eb064171764fd58d709b29b6bf03f5_61_2" hidden="1">#REF!</definedName>
    <definedName name="TRNR_032b016a56aa4d36a411255fef30fc5b_61_2" hidden="1">#REF!</definedName>
    <definedName name="TRNR_033a3821de5e4a62a1452025974f1766_104_6" hidden="1">#REF!</definedName>
    <definedName name="TRNR_0345f638c06941d9a801008cfa1243cf_56_3" hidden="1">#REF!</definedName>
    <definedName name="TRNR_034cdd61d05040b1a5a3760556f5079a_61_2" hidden="1">#REF!</definedName>
    <definedName name="TRNR_03595526f1184fd2916456c932511ab5_61_2" hidden="1">#REF!</definedName>
    <definedName name="TRNR_035d927d654040b08aeafa2a7632fcc9_61_2" hidden="1">#REF!</definedName>
    <definedName name="TRNR_0365cefb27294221b7665fbe3fafbe21_61_2" hidden="1">#REF!</definedName>
    <definedName name="TRNR_0372e32d4552470390ed9464c7f341ab_5871_12" hidden="1">#REF!</definedName>
    <definedName name="TRNR_0376f0eb33604988bdfc3e94307759c4_528_7" hidden="1">#REF!</definedName>
    <definedName name="TRNR_037f9340349e476b891ff8474dc3e263_61_2" hidden="1">#REF!</definedName>
    <definedName name="TRNR_0380d56d672b455d85e5c9870b0b1c2d_61_2" hidden="1">#REF!</definedName>
    <definedName name="TRNR_039fe416e480414985853b1c4b0cf225_61_2" hidden="1">#REF!</definedName>
    <definedName name="TRNR_03a640600f4c4981a16182b9c2eda114_61_2" hidden="1">#REF!</definedName>
    <definedName name="TRNR_03af9d532659452e9fa32c0db6fe4114_285_13" hidden="1">#REF!</definedName>
    <definedName name="TRNR_03ca029856714e0aaf6484058772b390_528_6" hidden="1">#REF!</definedName>
    <definedName name="TRNR_041261b743bf4e2193c1e8575ffda30e_5886_6" hidden="1">#REF!</definedName>
    <definedName name="TRNR_042d53eb4fd14815a5401cb89ad58884_61_2" hidden="1">#REF!</definedName>
    <definedName name="TRNR_042e796859014a97970a5f9b8c272fa0_61_2" hidden="1">#REF!</definedName>
    <definedName name="TRNR_043b352cf2984946998ec5de50b320f4_50_3" hidden="1">#REF!</definedName>
    <definedName name="TRNR_043bae65eb5e43a0ace1ecf5df6898c3_61_2" hidden="1">'[1]Gráfico 66'!#REF!</definedName>
    <definedName name="TRNR_0442b254df2e4b5c92ec11f90cdb083d_20_5" hidden="1">#REF!</definedName>
    <definedName name="TRNR_04831930b6f443c1ae9584b82107ec06_61_2" hidden="1">#REF!</definedName>
    <definedName name="TRNR_049381bdb9cc4034be463b0019340681_61_2" hidden="1">#REF!</definedName>
    <definedName name="TRNR_04b75e8da4214d088e68d70503b19fcb_61_2" hidden="1">#REF!</definedName>
    <definedName name="TRNR_04cf68de91574d31a8a9b7940dfd0f10_286_6" hidden="1">#REF!</definedName>
    <definedName name="TRNR_04e006b2624a44d595707e378765344c_61_2" hidden="1">#REF!</definedName>
    <definedName name="TRNR_04e0beaeb8274290953aecef02864762_52_3" hidden="1">#REF!</definedName>
    <definedName name="TRNR_04efa0e333f54d5dbbcfa3a39fcead45_524_10" hidden="1">#REF!</definedName>
    <definedName name="TRNR_04faabaf89284b179ae11ade4257c757_61_2" hidden="1">'[1]Gráfico 66'!#REF!</definedName>
    <definedName name="TRNR_050704e70f45404390141477ec5a0312_61_2" hidden="1">#REF!</definedName>
    <definedName name="TRNR_05081581e32241c19e9d36466470a856_61_2" hidden="1">#REF!</definedName>
    <definedName name="TRNR_051070eb0b8c4e27be188b75669d9ae3_61_2" hidden="1">#REF!</definedName>
    <definedName name="TRNR_05115bf1014a4600a1e3bf2dfea6609c_528_4" hidden="1">#REF!</definedName>
    <definedName name="TRNR_0517baa50057425592f4d9182a4c1449_61_2" hidden="1">#REF!</definedName>
    <definedName name="TRNR_051c9510ea724026abdd123202de5950_55_3" hidden="1">#REF!</definedName>
    <definedName name="TRNR_0520b2b73f02415dbf3edb2499d771b5_61_2" hidden="1">#REF!</definedName>
    <definedName name="TRNR_05245a249c3e46eda7a52eb6d8bebc56_6143_6" hidden="1">#REF!</definedName>
    <definedName name="TRNR_0534e4e78b7d4544a5fcb977c9e238b2_61_2" hidden="1">#REF!</definedName>
    <definedName name="TRNR_0541f4f944a044fa95ac9c28a27da9f3_5842_12" hidden="1">#REF!</definedName>
    <definedName name="TRNR_05540d808a304d8bad418e83ae177cba_61_2" hidden="1">#REF!</definedName>
    <definedName name="TRNR_055e3c8db26342ffabc2271c7e693e1f_61_2" hidden="1">#REF!</definedName>
    <definedName name="TRNR_056dac2408bd4b9082d9a9b17d48bf1f_61_2" hidden="1">#REF!</definedName>
    <definedName name="TRNR_0572ab7c3c1e476dbb6300c961fda244_323_1" hidden="1">'[1]Gráfico 65'!#REF!</definedName>
    <definedName name="TRNR_058497edd9244067bb668eb91dce5bd1_61_2" hidden="1">#REF!</definedName>
    <definedName name="TRNR_058e220a6c16492d8d890e19ff064fd4_61_2" hidden="1">#REF!</definedName>
    <definedName name="TRNR_058f91766ed8499181df535c123718ce_61_2" hidden="1">#REF!</definedName>
    <definedName name="TRNR_0590e98b5dac4c16b936fe2af56614fb_40_6" hidden="1">#REF!</definedName>
    <definedName name="TRNR_05916a872a364776bbedfc6d2b73fecd_25_6" hidden="1">#REF!</definedName>
    <definedName name="TRNR_059422fbe048448f8726d9bac47ac1e8_61_2" hidden="1">#REF!</definedName>
    <definedName name="TRNR_05978af0f0274a63bcfadf36adb8e60c_2071_6" hidden="1">#REF!</definedName>
    <definedName name="TRNR_05a4ca008f514212aceaf6188e89ad0e_61_2" hidden="1">'[1]Gráfico 66'!#REF!</definedName>
    <definedName name="TRNR_05b11777ef764626b2c1b982cdbf0b66_61_2" hidden="1">#REF!</definedName>
    <definedName name="TRNR_05b33f2a84044bf99aa6bd058de68f75_61_2" hidden="1">#REF!</definedName>
    <definedName name="TRNR_05df332b25a54bcfb7ab890ef399ae0f_61_2" hidden="1">#REF!</definedName>
    <definedName name="TRNR_05ea58a2380e4f23b9fe763138c50646_61_2" hidden="1">#REF!</definedName>
    <definedName name="TRNR_05f69f6e6b524ee3a290c9cb84c805b1_6_4" hidden="1">#REF!</definedName>
    <definedName name="TRNR_05f77d8dd06945ecb68482ba68341e72_31_9" hidden="1">#REF!</definedName>
    <definedName name="TRNR_060909a6e43c470da8ee205df77dfa96_25_6" hidden="1">#REF!</definedName>
    <definedName name="TRNR_0614bfbfaa5c481b905dd4253ce0449b_61_2" hidden="1">'[1]Gráfico 66'!#REF!</definedName>
    <definedName name="TRNR_061bd25561dc42799fa4fbe0222ccfd6_963_2" hidden="1">#REF!</definedName>
    <definedName name="TRNR_0646bb742e714fcdaf7bad1ff6405090_2037_6" hidden="1">#REF!</definedName>
    <definedName name="TRNR_064e2701896c448fba50496d1223989a_61_2" hidden="1">#REF!</definedName>
    <definedName name="TRNR_065323834082421fa8a974e1b9449e32_6177_4" hidden="1">#REF!</definedName>
    <definedName name="TRNR_0676c06062ba4b71aa6eee949bb5e667_6460_2" hidden="1">#REF!</definedName>
    <definedName name="TRNR_06a260c2f2194301a3bad8a609bdfad8_2097_6" hidden="1">#REF!</definedName>
    <definedName name="TRNR_06bdca42624f4597b9da0dae1fcd4245_6015_4" hidden="1">#REF!</definedName>
    <definedName name="TRNR_06d1407a85164150b144bfe0cea50628_324_10" hidden="1">#REF!</definedName>
    <definedName name="TRNR_0707a6fdd65f4f71ae6a2ed1c2239128_32_3" hidden="1">#REF!</definedName>
    <definedName name="TRNR_073048ebc8eb46a4b9bf1f69142c9556_61_2" hidden="1">#REF!</definedName>
    <definedName name="TRNR_07385e49a63e46bea28a56713d90caf0_61_2" hidden="1">#REF!</definedName>
    <definedName name="TRNR_07534bcfe3e74cb6af3d870b93d62a13_20_4" hidden="1">#REF!</definedName>
    <definedName name="TRNR_0756e1f8e913418398d72ea60bbac42e_61_2" hidden="1">#REF!</definedName>
    <definedName name="TRNR_075e6d1379b1423486f955386cdbe76f_61_2" hidden="1">#REF!</definedName>
    <definedName name="TRNR_0762aa7b125c4cdea74379142736309a_52_3" hidden="1">#REF!</definedName>
    <definedName name="TRNR_07675ede2fa04366b0bc3ac2147f9ebe_61_2" hidden="1">#REF!</definedName>
    <definedName name="TRNR_076fb957bc054b3e845bc53c61f40774_50_2" hidden="1">#REF!</definedName>
    <definedName name="TRNR_077250a5bbca49d6bd7e27633b9a84ad_527_6" hidden="1">#REF!</definedName>
    <definedName name="TRNR_07748542fcf24009bc8253d8b76f6119_61_2" hidden="1">#REF!</definedName>
    <definedName name="TRNR_07782f26afaf486fb6f348ebc5006bf8_6387_2" hidden="1">#REF!</definedName>
    <definedName name="TRNR_078678fb51d440ba9f502118128484b9_61_2" hidden="1">#REF!</definedName>
    <definedName name="TRNR_079e5b1a56dc4193b75ecb5c469a0f8b_61_2" hidden="1">#REF!</definedName>
    <definedName name="TRNR_07a1c062532541cfac18ac855973191e_61_2" hidden="1">#REF!</definedName>
    <definedName name="TRNR_07a52975bbf0436fb8aada6ae40e646e_62_11" hidden="1">#REF!</definedName>
    <definedName name="TRNR_07a615f34fd144b7a43e16abe4ec9547_61_2" hidden="1">#REF!</definedName>
    <definedName name="TRNR_07ad533fdab24b3ab430c1aa19fd4fa3_528_7" hidden="1">#REF!</definedName>
    <definedName name="TRNR_07b58e4c91c2403481550265de659cda_61_2" hidden="1">#REF!</definedName>
    <definedName name="TRNR_07bf80e46db74ea2a7b092cf882c672c_288_6" hidden="1">#REF!</definedName>
    <definedName name="TRNR_07c062612c73469fa552d77dea7815dc_61_2" hidden="1">#REF!</definedName>
    <definedName name="TRNR_07c7122def0349339cfbab20011ebb4d_6139_6" hidden="1">#REF!</definedName>
    <definedName name="TRNR_07cbdd7d059c4106b3cac1f9f59c7656_61_2" hidden="1">#REF!</definedName>
    <definedName name="TRNR_07cc67e8ef6443f4b15ba679dc2c589b_61_2" hidden="1">#REF!</definedName>
    <definedName name="TRNR_07fb560b97964233a58b33e1fdedefd9_4914_9" hidden="1">#REF!</definedName>
    <definedName name="TRNR_080522d79fcf4910b8b107442722e97d_61_2" hidden="1">#REF!</definedName>
    <definedName name="TRNR_08066539ab8244f0a27ebc4c6db385a7_61_2" hidden="1">#REF!</definedName>
    <definedName name="TRNR_081a84da9ff046c4867997c9361c7a24_90_9" hidden="1">#REF!</definedName>
    <definedName name="TRNR_08277bea286e4567aec04c8e12c44652_50_1" hidden="1">#REF!</definedName>
    <definedName name="TRNR_082f4b87f89745cab83e9b6e91d2e1ff_61_2" hidden="1">#REF!</definedName>
    <definedName name="TRNR_0848e85183c44535ac3e0b7f8fea0784_20_3" hidden="1">#REF!</definedName>
    <definedName name="TRNR_084f6bc1ea7a40f0850c7ba175e9f37e_5881_12" hidden="1">#REF!</definedName>
    <definedName name="TRNR_08515d5d3feb4d1d9a44c0e50078df6f_61_2" hidden="1">#REF!</definedName>
    <definedName name="TRNR_0857e0cb70544e76ad4d089a26db1d4d_61_2" hidden="1">#REF!</definedName>
    <definedName name="TRNR_08642b8263544e10989635147bf88bf9_524_10" hidden="1">#REF!</definedName>
    <definedName name="TRNR_087b0d87ca1e4c21adc794c2f724108d_61_2" hidden="1">#REF!</definedName>
    <definedName name="TRNR_088f181fe88643629bde7c52b34c9995_61_2" hidden="1">#REF!</definedName>
    <definedName name="TRNR_0896b8227cf449f99c583eae54e87784_61_2" hidden="1">#REF!</definedName>
    <definedName name="TRNR_089fdafde04d4c789b2ce50dac0dc7e1_525_10" hidden="1">#REF!</definedName>
    <definedName name="TRNR_08a6fd053fe14c3e96321a36c45e86ae_5861_12" hidden="1">#REF!</definedName>
    <definedName name="TRNR_08ac7e8c2d1e445bb4a5c454193f3709_61_2" hidden="1">'[1]Gráfico 66'!#REF!</definedName>
    <definedName name="TRNR_08ca703e614447989cb49c21fb8a0e33_61_2" hidden="1">#REF!</definedName>
    <definedName name="TRNR_08f6353b57be4387a8bf04a53bba3f16_61_2" hidden="1">#REF!</definedName>
    <definedName name="TRNR_0928dcefd6d6473b80e322ad32299cec_5975_6" hidden="1">#REF!</definedName>
    <definedName name="TRNR_09459d88c4d547158c4100bc3031b5e6_4939_9" hidden="1">#REF!</definedName>
    <definedName name="TRNR_09484a65a1b24101b44c67216c038d4d_313_16" hidden="1">#REF!</definedName>
    <definedName name="TRNR_094d2bc1b9ce4afc9b610f4f2106376a_5864_6" hidden="1">#REF!</definedName>
    <definedName name="TRNR_0950c0d1107b432d8a1934d732d53415_61_2" hidden="1">#REF!</definedName>
    <definedName name="TRNR_09571055793f4aa5acba03bb51d7746b_61_2" hidden="1">#REF!</definedName>
    <definedName name="TRNR_0963374c32d8448a954280b5af963656_61_2" hidden="1">'[1]Gráfico 66'!#REF!</definedName>
    <definedName name="TRNR_09776870aff94609914d39dced1b890b_61_2" hidden="1">#REF!</definedName>
    <definedName name="TRNR_0977b8d64a3f44d7b5ba06608315edfc_61_2" hidden="1">#REF!</definedName>
    <definedName name="TRNR_0999a9627527418bac8e90fc3ebb0297_61_2" hidden="1">#REF!</definedName>
    <definedName name="TRNR_09a00f7ce8e1483f93ba15312f59346f_25_6" hidden="1">#REF!</definedName>
    <definedName name="TRNR_09a2ec7fc0334848bd26755ad7617717_61_2" hidden="1">#REF!</definedName>
    <definedName name="TRNR_09aa0a4b6bb14f0fb339a9685e5c367b_61_2" hidden="1">'[1]Gráfico 66'!#REF!</definedName>
    <definedName name="TRNR_09abf72a05a84d57a136872f9595b27e_527_7" hidden="1">#REF!</definedName>
    <definedName name="TRNR_09adee7749ed4004b52a92432aed351b_25_6" hidden="1">#REF!</definedName>
    <definedName name="TRNR_09b07b3acaf24138b1d8de5641848737_5955_6" hidden="1">#REF!</definedName>
    <definedName name="TRNR_09c25ea0a459425ba8bcbdebe2286eb7_61_2" hidden="1">#REF!</definedName>
    <definedName name="TRNR_09c90ffa9628436c8239a52d521e3933_61_2" hidden="1">#REF!</definedName>
    <definedName name="TRNR_09cac664746247a4899774cc35717b72_527_7" hidden="1">#REF!</definedName>
    <definedName name="TRNR_09f1ce5d86834663b933f789212e80bf_102_6" hidden="1">#REF!</definedName>
    <definedName name="TRNR_0a0083ce27bb46208a785fa30b110838_2_1" hidden="1">#REF!</definedName>
    <definedName name="TRNR_0a08eeb480ca445f885e659af311922c_1007_27" hidden="1">#REF!</definedName>
    <definedName name="TRNR_0a16a87182854c2ebaabb51039db17d6_61_2" hidden="1">#REF!</definedName>
    <definedName name="TRNR_0a1d7221e7f948539743a2a3ddd99ba8_55_3" hidden="1">#REF!</definedName>
    <definedName name="TRNR_0a2a253ad263479188a671af6667bf9e_61_2" hidden="1">#REF!</definedName>
    <definedName name="TRNR_0a2cc8bcfa11485ba9763f678801b7a7_528_6" hidden="1">#REF!</definedName>
    <definedName name="TRNR_0a37866ed4374e8bb589edc57803580a_977_27" hidden="1">#REF!</definedName>
    <definedName name="TRNR_0a38900e7d384b8294020194524b2cc8_282_13" hidden="1">#REF!</definedName>
    <definedName name="TRNR_0a3920c49194437b8e3002c2e77fe169_61_2" hidden="1">#REF!</definedName>
    <definedName name="TRNR_0a5b8309c4bf4d6d88b62e422660b19e_310_16" hidden="1">#REF!</definedName>
    <definedName name="TRNR_0a5ec65e607a444a8aed31cc6214be73_1079_27" hidden="1">#REF!</definedName>
    <definedName name="TRNR_0a64519138d64e71acfadf1523627c0e_61_2" hidden="1">'[1]Gráfico 66'!#REF!</definedName>
    <definedName name="TRNR_0a95d52c9a6544d3a5c3d4e343452926_527_6" hidden="1">#REF!</definedName>
    <definedName name="TRNR_0aa20c4192234f9abfecf0cc27d01f9a_61_2" hidden="1">#REF!</definedName>
    <definedName name="TRNR_0ac2fde8f382460ba817916bb54eba65_61_2" hidden="1">#REF!</definedName>
    <definedName name="TRNR_0af370796a46497ca942198b432b335f_61_2" hidden="1">#REF!</definedName>
    <definedName name="TRNR_0af672a0ba1741909a9472684a85379a_61_2" hidden="1">#REF!</definedName>
    <definedName name="TRNR_0afbc740e24e443ca88748ad7d3200c1_44_4" hidden="1">#REF!</definedName>
    <definedName name="TRNR_0b0a6eacb60b4a16b590b16609f80444_5854_12" hidden="1">#REF!</definedName>
    <definedName name="TRNR_0b13a369f9bc4270bcd066a258d969bc_61_2" hidden="1">#REF!</definedName>
    <definedName name="TRNR_0b19726c8b29478f82bca40e995453f2_61_2" hidden="1">#REF!</definedName>
    <definedName name="TRNR_0b242c7e92f541d9a32530e51e945020_61_2" hidden="1">#REF!</definedName>
    <definedName name="TRNR_0b36321e203145d9b26e63a22364f20b_20_4" hidden="1">#REF!</definedName>
    <definedName name="TRNR_0b4287a2745d4cc495027e82f1785611_61_2" hidden="1">#REF!</definedName>
    <definedName name="TRNR_0b48497aae0b44ec8c2fc9f339bfe10c_61_2" hidden="1">#REF!</definedName>
    <definedName name="TRNR_0bd7bbf0205345e4b14b5b0eb88318fa_61_2" hidden="1">#REF!</definedName>
    <definedName name="TRNR_0bda5d273e3143b0a0fb36fd2d5dab8c_40_50" hidden="1">#REF!</definedName>
    <definedName name="TRNR_0bdea90805a74e9dac01b5098d6df02c_102_6" hidden="1">#REF!</definedName>
    <definedName name="TRNR_0beb128821374dacba2297502087b627_61_2" hidden="1">#REF!</definedName>
    <definedName name="TRNR_0bf92aeb9216495996d1e7e743e0ff3d_51_3" hidden="1">#REF!</definedName>
    <definedName name="TRNR_0c08e392803d4bfaa33db075b0263c7b_61_2" hidden="1">#REF!</definedName>
    <definedName name="TRNR_0c18e04d080742f39557f110555f644e_61_2" hidden="1">#REF!</definedName>
    <definedName name="TRNR_0c211fa811f54c6db05cb4d0cc83f944_584_1" hidden="1">#REF!</definedName>
    <definedName name="TRNR_0c2efe68956743a895977c408193e067_102_6" hidden="1">#REF!</definedName>
    <definedName name="TRNR_0c429e379a7949b3ac2c058cdd249118_5950_6" hidden="1">#REF!</definedName>
    <definedName name="TRNR_0c5d733389db4b2290eb4f2d0fc86fe9_2_1" hidden="1">#REF!</definedName>
    <definedName name="TRNR_0c66509a72b2407ebd8370650a5604a2_276_6" hidden="1">#REF!</definedName>
    <definedName name="TRNR_0c697d39124241358edaa2c59c2b20a5_61_2" hidden="1">#REF!</definedName>
    <definedName name="TRNR_0c911ed2850544e0a844289ec2ea7dc3_61_2" hidden="1">#REF!</definedName>
    <definedName name="TRNR_0c95e702c8e94462a2cb046cd475fd8d_61_2" hidden="1">#REF!</definedName>
    <definedName name="TRNR_0c99e0398e264e859137c4a917cf7423_61_2" hidden="1">#REF!</definedName>
    <definedName name="TRNR_0ca97f340ba2471e951f10320f410917_5873_6" hidden="1">#REF!</definedName>
    <definedName name="TRNR_0cbab9b382854c86a3cdbe1163fcfd40_1051_2" hidden="1">#REF!</definedName>
    <definedName name="TRNR_0cbd9b60462a472b9c4940806ff626a2_62_11" hidden="1">#REF!</definedName>
    <definedName name="TRNR_0ceba76ceea1480cb22fd6d03cf0b626_61_2" hidden="1">#REF!</definedName>
    <definedName name="TRNR_0cecf777690144f19fbbb2a2200ffd9f_61_2" hidden="1">#REF!</definedName>
    <definedName name="TRNR_0ceec69d228d4ba1a38bf2b46c0dbdeb_61_2" hidden="1">#REF!</definedName>
    <definedName name="TRNR_0d1479573e22462294e3c322b8b44567_61_2" hidden="1">'[1]Gráfico 66'!#REF!</definedName>
    <definedName name="TRNR_0d3bc74c226e4de0b80334e1caec4530_312_10" hidden="1">#REF!</definedName>
    <definedName name="TRNR_0d3c79ea826e412081a6fc3d674ddb08_28_1" hidden="1">#REF!</definedName>
    <definedName name="TRNR_0d3d2eaf6d19475e83da7c360a953ddb_5901_6" hidden="1">#REF!</definedName>
    <definedName name="TRNR_0d4a875c3c6246bbbd1cad26d89c0925_528_6" hidden="1">#REF!</definedName>
    <definedName name="TRNR_0d516512fe8849f598a29de80ec9d0ac_138_3" hidden="1">#REF!</definedName>
    <definedName name="TRNR_0d713592c646498d971ea71b1342cfa7_95_8" hidden="1">#REF!</definedName>
    <definedName name="TRNR_0d7432b55c0047daade34f3848629fd6_6045_7" hidden="1">#REF!</definedName>
    <definedName name="TRNR_0d7b72afa43f4b53a4cbba5328edc55b_50_3" hidden="1">#REF!</definedName>
    <definedName name="TRNR_0d998c7d2d444115904da1e317c2184d_980_27" hidden="1">#REF!</definedName>
    <definedName name="TRNR_0da415d0f815425db66b07d63955f8d7_4_2" hidden="1">'[1]Gráfico 66'!#REF!</definedName>
    <definedName name="TRNR_0db48f4cd9794ac7b32af2def0742a66_61_2" hidden="1">#REF!</definedName>
    <definedName name="TRNR_0dca369fbfc84505b6559deb9393a3f8_61_2" hidden="1">#REF!</definedName>
    <definedName name="TRNR_0ddda78081fc496fa75e21555f655329_61_2" hidden="1">#REF!</definedName>
    <definedName name="TRNR_0dfbe39a501f412988c6b7e320474e91_528_7" hidden="1">#REF!</definedName>
    <definedName name="TRNR_0dfc2a0a67b347d38fc73298c333dd78_61_2" hidden="1">#REF!</definedName>
    <definedName name="TRNR_0e04143f15cb4f6c82e288ba17d97f24_61_2" hidden="1">#REF!</definedName>
    <definedName name="TRNR_0e1151cc825349af834d5314e79aa6ac_61_2" hidden="1">#REF!</definedName>
    <definedName name="TRNR_0e160736ee8d4a91ad5774c3c57dca7c_61_2" hidden="1">#REF!</definedName>
    <definedName name="TRNR_0e23381f1674440786337d4137797d06_1016_27" hidden="1">#REF!</definedName>
    <definedName name="TRNR_0e32af8d5f054585be77f7ff8c2ca3c5_61_2" hidden="1">#REF!</definedName>
    <definedName name="TRNR_0e4c40869fb447d1821e5da70ba9c705_20_4" hidden="1">#REF!</definedName>
    <definedName name="TRNR_0e5531672ad14cefb3c216e4cb02db52_61_2" hidden="1">#REF!</definedName>
    <definedName name="TRNR_0e724a67ec944b9ca8969c855c4d72e1_61_2" hidden="1">#REF!</definedName>
    <definedName name="TRNR_0e8886d70a874992932ad4becf9130de_61_2" hidden="1">#REF!</definedName>
    <definedName name="TRNR_0e9a48219894407baff60170871c272c_61_2" hidden="1">#REF!</definedName>
    <definedName name="TRNR_0ea654d3c6d64d1b9254b6b30806a53b_92_8" hidden="1">#REF!</definedName>
    <definedName name="TRNR_0ebc34d33d944f1fa7df1f06fcc3424f_224_1" hidden="1">#REF!</definedName>
    <definedName name="TRNR_0ecc2715931b4073b480d3ea6853fe65_50_3" hidden="1">#REF!</definedName>
    <definedName name="TRNR_0eceee26e596457b884f2dc885191b07_6045_7" hidden="1">#REF!</definedName>
    <definedName name="TRNR_0ef4afa871954067a1655461afa18378_17_2" hidden="1">#REF!</definedName>
    <definedName name="TRNR_0efbbe0ce66247209063cbc163ac857f_288_13" hidden="1">#REF!</definedName>
    <definedName name="TRNR_0f3908e06e8341d6beedef7143102375_61_2" hidden="1">#REF!</definedName>
    <definedName name="TRNR_0f570a7647284aab9b1b232ca927af9a_1306_1" hidden="1">#REF!</definedName>
    <definedName name="TRNR_0f59247567594c0cb07072683d68233c_2046_6" hidden="1">#REF!</definedName>
    <definedName name="TRNR_0f62f8b5ebf44be9ad0d20b449e0bbce_61_2" hidden="1">#REF!</definedName>
    <definedName name="TRNR_0f7a5687e22542939c8d60747bfecdc1_61_2" hidden="1">'[1]Gráfico 66'!#REF!</definedName>
    <definedName name="TRNR_0f7aa04dfc624a2c8a4ce864e06997c7_61_2" hidden="1">#REF!</definedName>
    <definedName name="TRNR_0f932330851a4996be7ec4a605a1463e_61_11" hidden="1">#REF!</definedName>
    <definedName name="TRNR_0f9395d9e5824ff88cfdec073b5d52cc_61_2" hidden="1">'[1]Gráfico 66'!#REF!</definedName>
    <definedName name="TRNR_0fa2ab59cd2a462c90775804652d08a4_61_2" hidden="1">#REF!</definedName>
    <definedName name="TRNR_0fbc530c56744048bb4fb869a7cc63fc_61_2" hidden="1">#REF!</definedName>
    <definedName name="TRNR_0fbebe97b1484ce98fec0622cefec15f_52_3" hidden="1">#REF!</definedName>
    <definedName name="TRNR_0fc2168059de4f17a9fa9f49f8fffc28_61_2" hidden="1">#REF!</definedName>
    <definedName name="TRNR_0fc45186110f49348f7e12c627fa6d72_52_3" hidden="1">#REF!</definedName>
    <definedName name="TRNR_0fcc317ac8cb414facd3dd8fb529b279_527_6" hidden="1">#REF!</definedName>
    <definedName name="TRNR_0fcdfb3651734de5ad7e17ce9639e2c1_61_2" hidden="1">#REF!</definedName>
    <definedName name="TRNR_0fcee44cb73243f9b2c0afc25429b7bb_61_2" hidden="1">#REF!</definedName>
    <definedName name="TRNR_0fe7a64772cf41ee91fee2ba48d967d7_61_2" hidden="1">#REF!</definedName>
    <definedName name="TRNR_0ff9cef45782411798172cbcfd189737_61_2" hidden="1">#REF!</definedName>
    <definedName name="TRNR_0ffdac9deec84789b6dcfa8ce62aff81_527_6" hidden="1">#REF!</definedName>
    <definedName name="TRNR_1014e4948de54f959af8b063a41d5cee_523_3" hidden="1">#REF!</definedName>
    <definedName name="TRNR_10244c92d0e34e0f9b7bf2235988336f_29_2" hidden="1">#REF!</definedName>
    <definedName name="TRNR_102a0df37c6e40059c3ff1f9b8a9a4b9_61_2" hidden="1">#REF!</definedName>
    <definedName name="TRNR_102e86fcf1c2438094c3109d1976a1c0_61_2" hidden="1">#REF!</definedName>
    <definedName name="TRNR_10396b912c6141a29d8995b7f1bed0b0_6249_2" hidden="1">#REF!</definedName>
    <definedName name="TRNR_1040e97c43964ee1845ef95665ae3596_61_2" hidden="1">#REF!</definedName>
    <definedName name="TRNR_1046f47c0e2f4220bc51ac6d0f4f022e_6066_6" hidden="1">#REF!</definedName>
    <definedName name="TRNR_104bef2e34764ffca672627bda61b213_5941_6" hidden="1">#REF!</definedName>
    <definedName name="TRNR_105060597ed7437d864ec92dcca6460a_20_4" hidden="1">#REF!</definedName>
    <definedName name="TRNR_105e5ec69e8f471980fe267e507e6387_61_2" hidden="1">#REF!</definedName>
    <definedName name="TRNR_1062622a3cab4ddea3470c022dc4e54c_61_2" hidden="1">'[1]Gráfico 66'!#REF!</definedName>
    <definedName name="TRNR_108598a1fa654c7f90c5a09681cda312_5820_12" hidden="1">#REF!</definedName>
    <definedName name="TRNR_108c0b67022d40a1901f0a6c6a04a9a8_61_2" hidden="1">#REF!</definedName>
    <definedName name="TRNR_108d3de14ad3401d9621bc90c0174818_5926_6" hidden="1">#REF!</definedName>
    <definedName name="TRNR_108e7ec256584d1c8a5010dc95a44941_61_2" hidden="1">#REF!</definedName>
    <definedName name="TRNR_10920257752042afb4bd16f9c4680d16_61_2" hidden="1">#REF!</definedName>
    <definedName name="TRNR_10a7c50f3933490098f497a8247fce80_61_2" hidden="1">#REF!</definedName>
    <definedName name="TRNR_10b111ec47d94cb1b8b68443eddd4d0f_101_6" hidden="1">#REF!</definedName>
    <definedName name="TRNR_10c64fb6b10f4cafb936ee68fdc96d53_5879_12" hidden="1">#REF!</definedName>
    <definedName name="TRNR_10c961585d114fd4b9c055c31216f3a4_61_2" hidden="1">#REF!</definedName>
    <definedName name="TRNR_10d6e1b820ad422d9964491444b6e204_61_2" hidden="1">#REF!</definedName>
    <definedName name="TRNR_10de9ff9ef094c12bffb80186e54b408_61_2" hidden="1">'[1]Gráfico 66'!#REF!</definedName>
    <definedName name="TRNR_10df6b89fd744fe3b1b757c280849779_61_2" hidden="1">#REF!</definedName>
    <definedName name="TRNR_10e635e0e03346449800a27aef2e38af_61_2" hidden="1">#REF!</definedName>
    <definedName name="TRNR_10eca34f0bd24d2aae7ba8d558f6bf0f_61_2" hidden="1">#REF!</definedName>
    <definedName name="TRNR_10fddfa941f94e2bb16abcfed7cefc5a_61_2" hidden="1">#REF!</definedName>
    <definedName name="TRNR_1106e93ff8cf47c681b113963f1646a1_19_9" hidden="1">#REF!</definedName>
    <definedName name="TRNR_1109795f02274bdda7b149b81981851d_2133_6" hidden="1">#REF!</definedName>
    <definedName name="TRNR_113102c7774b4d29951fd62d7a83dc34_52_3" hidden="1">#REF!</definedName>
    <definedName name="TRNR_113374db8d6641a196d46fb955ed127f_525_10" hidden="1">#REF!</definedName>
    <definedName name="TRNR_11350dd8e50a40958b76a9c5fa2feff8_25_6" hidden="1">#REF!</definedName>
    <definedName name="TRNR_1139b8001df540cea91b8c549ec08322_30_9" hidden="1">#REF!</definedName>
    <definedName name="TRNR_113b83628cdc4b97b7befa5e4969f50a_61_2" hidden="1">#REF!</definedName>
    <definedName name="TRNR_114563e06e8543309da0892d2ac423e8_61_2" hidden="1">#REF!</definedName>
    <definedName name="TRNR_114659bb88a2466384fba21f91c8c028_101_6" hidden="1">#REF!</definedName>
    <definedName name="TRNR_11494562e66647628f2b0da94d9d244b_61_2" hidden="1">#REF!</definedName>
    <definedName name="TRNR_114e6664778344ecae187a14e2aa24cf_61_2" hidden="1">#REF!</definedName>
    <definedName name="TRNR_117df5037f624982bc1454000a6091fe_61_2" hidden="1">#REF!</definedName>
    <definedName name="TRNR_11820b3e9bee4995961dc696b2e701db_61_2" hidden="1">#REF!</definedName>
    <definedName name="TRNR_118727850efc4636865d7f20d2c2caa4_20_4" hidden="1">#REF!</definedName>
    <definedName name="TRNR_11be244e87b04fc989069f2aa7c6f99b_61_2" hidden="1">#REF!</definedName>
    <definedName name="TRNR_11c442bd6fef46f19c3753aadd78ae58_21_9" hidden="1">#REF!</definedName>
    <definedName name="TRNR_11d2a2fcca83426b917bfde5ba5dcc3b_61_2" hidden="1">#REF!</definedName>
    <definedName name="TRNR_11e8a5d255b04cbb9c6f946c2763a288_61_2" hidden="1">#REF!</definedName>
    <definedName name="TRNR_11ee4280cb9943eda4ffcc875cbb2528_61_2" hidden="1">#REF!</definedName>
    <definedName name="TRNR_11f216e11b104622b0734dc423927622_62_11" hidden="1">#REF!</definedName>
    <definedName name="TRNR_120a625725c64ddc91815e141529f829_5927_6" hidden="1">#REF!</definedName>
    <definedName name="TRNR_120f83c2569946f9a059bde5bd7ecf48_61_2" hidden="1">#REF!</definedName>
    <definedName name="TRNR_122c031265a24b1bafa999bb7c200101_523_1" hidden="1">#REF!</definedName>
    <definedName name="TRNR_1245fccb1812433794ba2d29963a42ba_5672_12" hidden="1">#REF!</definedName>
    <definedName name="TRNR_12472672c6e44ed4b0de4690af3316c3_61_2" hidden="1">#REF!</definedName>
    <definedName name="TRNR_1256fbb1e1054ce6860315a90d6f46eb_61_2" hidden="1">#REF!</definedName>
    <definedName name="TRNR_1260164457944485b016e9af3ea00ab5_1075_27" hidden="1">#REF!</definedName>
    <definedName name="TRNR_1266f599a2d446119be84e2221c68aec_61_2" hidden="1">#REF!</definedName>
    <definedName name="TRNR_126764fd8e8c49b480a2bf34b8d47f95_5768_12" hidden="1">#REF!</definedName>
    <definedName name="TRNR_126b1984a149404fade79e0363f3f5d0_61_2" hidden="1">#REF!</definedName>
    <definedName name="TRNR_127ad98c66b945cea1f6abb8dc37f092_61_2" hidden="1">'[1]Gráfico 66'!#REF!</definedName>
    <definedName name="TRNR_129e8e11d1c3439ab1da0fb481702280_1110_27" hidden="1">#REF!</definedName>
    <definedName name="TRNR_12b439c8441e4734930c867b13954091_61_2" hidden="1">#REF!</definedName>
    <definedName name="TRNR_12be6a5e004040fa8c59f4908257a08a_61_2" hidden="1">#REF!</definedName>
    <definedName name="TRNR_12c5b7cf9c724e4facd398c23b85a9aa_61_2" hidden="1">#REF!</definedName>
    <definedName name="TRNR_12c6d60df1c546f6ad83afc22f64b70d_1028_27" hidden="1">#REF!</definedName>
    <definedName name="TRNR_12d0038b608c4ea4b661317a60c81d23_61_2" hidden="1">#REF!</definedName>
    <definedName name="TRNR_12d7c3844b0148868478abc179426b8e_61_2" hidden="1">#REF!</definedName>
    <definedName name="TRNR_12da1e76f7d449848638b5da3d181445_61_2" hidden="1">#REF!</definedName>
    <definedName name="TRNR_12dc0fb11aa64d96a346dac4e350e4fb_20_4" hidden="1">#REF!</definedName>
    <definedName name="TRNR_12f402a36a89445cb44778b129bd9e0b_28_1" hidden="1">#REF!</definedName>
    <definedName name="TRNR_12fbeb11b6254d838b75b6e2c6c1f046_61_2" hidden="1">#REF!</definedName>
    <definedName name="TRNR_13032d4d89974c00b3a9b7e3c46d3ebe_5973_6" hidden="1">#REF!</definedName>
    <definedName name="TRNR_13067fe2c0d74630b87d6e76f1a95bde_0_0" hidden="1">#REF!</definedName>
    <definedName name="TRNR_130dc0af74964b69a6621e7680af7888_20_4" hidden="1">#REF!</definedName>
    <definedName name="TRNR_131541e3c1cd4f9abde429ad11ebfe76_61_2" hidden="1">#REF!</definedName>
    <definedName name="TRNR_1317ce777be64461a2cca9e6c0863f50_34_9" hidden="1">#REF!</definedName>
    <definedName name="TRNR_131d327376bd42c99d65022a8fe5a392_283_13" hidden="1">#REF!</definedName>
    <definedName name="TRNR_131d9388e96a411998b1a840aeb3aff2_61_2" hidden="1">#REF!</definedName>
    <definedName name="TRNR_13519c09782b41ecb1067b3cf8510ce0_61_2" hidden="1">#REF!</definedName>
    <definedName name="TRNR_13520cdb447b4370b68a5431040f6685_61_2" hidden="1">#REF!</definedName>
    <definedName name="TRNR_135adbbe761a4335939eab6ab3a2e2dd_59_3" hidden="1">#REF!</definedName>
    <definedName name="TRNR_135b92dc45584680810af27dd7176239_61_2" hidden="1">#REF!</definedName>
    <definedName name="TRNR_13617efa16fa481e8d451eac4c411bf0_25_6" hidden="1">#REF!</definedName>
    <definedName name="TRNR_138368018f8445fd81fe0e78a8c961cf_61_2" hidden="1">#REF!</definedName>
    <definedName name="TRNR_13900a20d5ce45e2bc4fd4871565be06_525_10" hidden="1">#REF!</definedName>
    <definedName name="TRNR_139ad7465dcd44d99517ca325d4dcece_5821_12" hidden="1">#REF!</definedName>
    <definedName name="TRNR_13a9ae56ec6447e0b3053bb1fa146d71_5856_12" hidden="1">#REF!</definedName>
    <definedName name="TRNR_13aa12a2ee2a40d3a7377c9184c41250_528_6" hidden="1">#REF!</definedName>
    <definedName name="TRNR_13cfb688224d4760b6efd8da199a7c11_61_2" hidden="1">#REF!</definedName>
    <definedName name="TRNR_13e38a665579445aae4b6e1cbe668477_61_2" hidden="1">#REF!</definedName>
    <definedName name="TRNR_13eba312d6ee45398fc0e4d2d373e3e1_51_3" hidden="1">#REF!</definedName>
    <definedName name="TRNR_13feb706a63c4b77977e0b7956484c72_61_2" hidden="1">#REF!</definedName>
    <definedName name="TRNR_14089af8a9ea410989ad2012e0c7374f_281_26" hidden="1">#REF!</definedName>
    <definedName name="TRNR_140c6f5a177f4aadaa0c996d0ceeb5de_61_2" hidden="1">#REF!</definedName>
    <definedName name="TRNR_140e73d899d34f609cfee8b6e5c27dc0_61_2" hidden="1">#REF!</definedName>
    <definedName name="TRNR_141ecd163d164152b85d9ce1ca2e8c95_61_2" hidden="1">#REF!</definedName>
    <definedName name="TRNR_1432976ad2c9487da39423619d5d639b_528_6" hidden="1">#REF!</definedName>
    <definedName name="TRNR_143f0be49bed402faca15009f85cb4c0_528_7" hidden="1">#REF!</definedName>
    <definedName name="TRNR_1442a2f97b7e4d429d4ff7a4b88b1cc9_6045_7" hidden="1">#REF!</definedName>
    <definedName name="TRNR_14503cfe702145e4959751bd96037c85_61_2" hidden="1">#REF!</definedName>
    <definedName name="TRNR_1461d0ef230a4f0d89148ffc2e2b4a38_61_2" hidden="1">#REF!</definedName>
    <definedName name="TRNR_1465d1e79c934bcd83291d92cd92df9a_61_2" hidden="1">#REF!</definedName>
    <definedName name="TRNR_1471f411476145b2a09e75ba6a45302d_528_6" hidden="1">#REF!</definedName>
    <definedName name="TRNR_1472aaafb661451285854eccbbdc923e_61_2" hidden="1">#REF!</definedName>
    <definedName name="TRNR_1476163ba48d4b488c434aea09bd5d88_61_2" hidden="1">#REF!</definedName>
    <definedName name="TRNR_1480570f7a7b473d81eb600b241509d6_5807_6" hidden="1">#REF!</definedName>
    <definedName name="TRNR_1480794059bb42e79552e72e8882447f_978_27" hidden="1">#REF!</definedName>
    <definedName name="TRNR_148745ef69474778ac491c73522ef4a6_528_7" hidden="1">#REF!</definedName>
    <definedName name="TRNR_1487584664cc417aba3fd733ff19e760_61_2" hidden="1">#REF!</definedName>
    <definedName name="TRNR_148dd0971336427393ef9d0d32af9e41_62_11" hidden="1">#REF!</definedName>
    <definedName name="TRNR_1499270ae66d481da3d490c2d8331ee1_61_2" hidden="1">#REF!</definedName>
    <definedName name="TRNR_14a9e007f1a14ea48b21b55753e9b0a1_61_2" hidden="1">#REF!</definedName>
    <definedName name="TRNR_14b027a3c92c4be29f6fbe076a3a6cb9_61_2" hidden="1">#REF!</definedName>
    <definedName name="TRNR_14bec6e3e58e4bf3bb516415e044817b_103_6" hidden="1">#REF!</definedName>
    <definedName name="TRNR_14c50db0186b44e2928f7fd9b6c69c56_99_6" hidden="1">#REF!</definedName>
    <definedName name="TRNR_14d6b59fbe2b4b7682010852f3f707ca_61_2" hidden="1">#REF!</definedName>
    <definedName name="TRNR_14ec6d81fe564cc0a1ed3c3ccdd8317a_52_3" hidden="1">#REF!</definedName>
    <definedName name="TRNR_14f493b37d1f4d62a8047b4156fe18b4_61_2" hidden="1">#REF!</definedName>
    <definedName name="TRNR_14f645e456fb490b86a8a30253a52423_1186_27" hidden="1">#REF!</definedName>
    <definedName name="TRNR_14f725ed91a24a92b7885a3466761d8a_61_2" hidden="1">#REF!</definedName>
    <definedName name="TRNR_1511d526a16f4cd0b952d029d339b5ff_61_2" hidden="1">#REF!</definedName>
    <definedName name="TRNR_1513acb81c8440eda3ba0813cb824bb5_61_2" hidden="1">'[1]Gráfico 66'!#REF!</definedName>
    <definedName name="TRNR_15191ffdb57d446084f0fddcd5dd5331_61_2" hidden="1">#REF!</definedName>
    <definedName name="TRNR_15223c5be8b746b3994e2fc3866242e8_61_7" hidden="1">#REF!</definedName>
    <definedName name="TRNR_1522b9139d6947cdb3b2582f863fc991_109_3" hidden="1">#REF!</definedName>
    <definedName name="TRNR_1547ef4475a14d44a3ff256d4fc364f2_61_2" hidden="1">#REF!</definedName>
    <definedName name="TRNR_154a88a26dc540b980a0dec6d180b4a8_25_6" hidden="1">#REF!</definedName>
    <definedName name="TRNR_154e83b3b812410bbc7bc63f962579cc_6108_4" hidden="1">#REF!</definedName>
    <definedName name="TRNR_158cde97a6094d039ab34ea82d6f1186_61_2" hidden="1">#REF!</definedName>
    <definedName name="TRNR_159d058c90b14990ac6018234dad26f9_61_2" hidden="1">#REF!</definedName>
    <definedName name="TRNR_159e754933204834abfcb3e2220ec680_18_9" hidden="1">#REF!</definedName>
    <definedName name="TRNR_15ba74a8b0e340bd98637beb260cf663_528_6" hidden="1">#REF!</definedName>
    <definedName name="TRNR_15c4a391fed34f8c8196c130a7c86c22_61_2" hidden="1">#REF!</definedName>
    <definedName name="TRNR_15c6c186afc341d2841752ae313f2905_61_2" hidden="1">#REF!</definedName>
    <definedName name="TRNR_15d473ba77804ac8bba8725d25e8f4ce_61_2" hidden="1">#REF!</definedName>
    <definedName name="TRNR_15e2c15714d54a7c8c20eb6ff3835710_4841_0" hidden="1">#REF!</definedName>
    <definedName name="TRNR_15e46a279dc54d9990dd00ac0a85ca7d_977_1" hidden="1">#REF!</definedName>
    <definedName name="TRNR_15ea7d301d0f4d02ad0abc9bf1539a71_297_3" hidden="1">#REF!</definedName>
    <definedName name="TRNR_160903b1a6424632b06b619518075a20_61_2" hidden="1">#REF!</definedName>
    <definedName name="TRNR_161099f1d56b421eb766199cedfcd002_1013_27" hidden="1">#REF!</definedName>
    <definedName name="TRNR_16128241522a47ada3497fd8618c84e9_52_3" hidden="1">#REF!</definedName>
    <definedName name="TRNR_1628cede76ae4ae8b05aa13c63558431_61_2" hidden="1">#REF!</definedName>
    <definedName name="TRNR_163242fe7baf4697ac43f00d3c192a4c_61_2" hidden="1">#REF!</definedName>
    <definedName name="TRNR_1633adeb97a04edaa340e9e223fb2fa6_61_2" hidden="1">#REF!</definedName>
    <definedName name="TRNR_163bd789683c4fc0a326d7485996b0e1_186_2" hidden="1">'[1]Gráfico 66'!#REF!</definedName>
    <definedName name="TRNR_164506e6f36b47c5b7397223cb6f1a72_37_4" hidden="1">#REF!</definedName>
    <definedName name="TRNR_1646b6e6191148af94f6f6747d87f091_2066_6" hidden="1">#REF!</definedName>
    <definedName name="TRNR_165393c90e3446f59bd14a1dbfcf1a50_528_7" hidden="1">#REF!</definedName>
    <definedName name="TRNR_165e6bfdc8e24999846d31acaf8b3b6c_19_9" hidden="1">#REF!</definedName>
    <definedName name="TRNR_16a4c163e74949c991c3934b82041fdd_61_2" hidden="1">#REF!</definedName>
    <definedName name="TRNR_16cca68c77c444ee9d0ab3aee7f214f8_61_2" hidden="1">#REF!</definedName>
    <definedName name="TRNR_16e27ba7e67b4df4a19f294b55f740a8_61_2" hidden="1">#REF!</definedName>
    <definedName name="TRNR_16e97bef22f54ca1b7c402de8a767f6a_61_2" hidden="1">#REF!</definedName>
    <definedName name="TRNR_16f07968e3234d46beb546bea08817fd_61_2" hidden="1">#REF!</definedName>
    <definedName name="TRNR_1711d7be86e747898d20b009749a55e6_2076_6" hidden="1">#REF!</definedName>
    <definedName name="TRNR_1755b34a266b4473b0dd8f0e1e0f6522_61_2" hidden="1">#REF!</definedName>
    <definedName name="TRNR_175add42892c4240acf75afff355ab36_61_2" hidden="1">#REF!</definedName>
    <definedName name="TRNR_1774b809803e4c58b63b7d0a66233eb1_50_1" hidden="1">#REF!</definedName>
    <definedName name="TRNR_17b7dd517a7f42f9adfb53a24909b3d1_241_9" hidden="1">#REF!</definedName>
    <definedName name="TRNR_17bd4c083df84f5f93bdcf059b5dd5a9_6179_4" hidden="1">#REF!</definedName>
    <definedName name="TRNR_17bf289f44e64353a89db7d136d2bd90_61_2" hidden="1">#REF!</definedName>
    <definedName name="TRNR_17d44f0cfe2e4c23ae1cc92469c040c8_61_2" hidden="1">#REF!</definedName>
    <definedName name="TRNR_17da9f77b0324698a156d8907be6dcad_528_7" hidden="1">#REF!</definedName>
    <definedName name="TRNR_17e1fc5309454145b8489f57a46dad88_61_2" hidden="1">#REF!</definedName>
    <definedName name="TRNR_17e9e38f4d1a4a5b8274868a3e7a766e_5875_12" hidden="1">#REF!</definedName>
    <definedName name="TRNR_17f96863021c483caa6e20f9cf952e17_528_6" hidden="1">#REF!</definedName>
    <definedName name="TRNR_18064dfc61564ac5a9381dd2633773dc_61_2" hidden="1">#REF!</definedName>
    <definedName name="TRNR_1810bd9e5be34ff49d99b35165ebaae8_61_2" hidden="1">#REF!</definedName>
    <definedName name="TRNR_182dec0fc1d145ad91ef2dd294a71ade_61_2" hidden="1">#REF!</definedName>
    <definedName name="TRNR_1839fe90173a44a6afa1a460b354efda_525_10" hidden="1">#REF!</definedName>
    <definedName name="TRNR_183cb4bb86a34695be72abf02feeec5d_1041_27" hidden="1">#REF!</definedName>
    <definedName name="TRNR_185dc69114f242869696dfcdfb5cac30_61_2" hidden="1">#REF!</definedName>
    <definedName name="TRNR_185e06fae7bf4e3f92e603b9c41237a2_61_2" hidden="1">#REF!</definedName>
    <definedName name="TRNR_1868d9eaee88421b9534e38ff6f2a6e9_61_2" hidden="1">#REF!</definedName>
    <definedName name="TRNR_187f94b6f62e4965990967c030e13a10_61_2" hidden="1">#REF!</definedName>
    <definedName name="TRNR_1893805e9d1c48c7ad7e17f4fa2e1436_916_10" hidden="1">#REF!</definedName>
    <definedName name="TRNR_189d6ec6f53240ed97121cd44ce609ae_1020_27" hidden="1">#REF!</definedName>
    <definedName name="TRNR_18a50e7dabe54899b65e996d6469eb38_73_11" hidden="1">#REF!</definedName>
    <definedName name="TRNR_18a63fc89bc64aa6a0ccedaf33920a04_5671_12" hidden="1">#REF!</definedName>
    <definedName name="TRNR_18b3a877fac14506bd054aeba8cacc5b_61_2" hidden="1">#REF!</definedName>
    <definedName name="TRNR_18b8f0d38dfb4e20abf52f85285933db_61_2" hidden="1">#REF!</definedName>
    <definedName name="TRNR_18cbc8d7813e435b853467bd44f72786_326_10" hidden="1">#REF!</definedName>
    <definedName name="TRNR_18d7daeb03d94c2baf6835aef7ee5984_61_2" hidden="1">'[1]Gráfico 66'!#REF!</definedName>
    <definedName name="TRNR_18da4064bff54ef7b585fcc740ad9d82_20_5" hidden="1">#REF!</definedName>
    <definedName name="TRNR_18dd8910f3e345199e790250c746f209_61_2" hidden="1">#REF!</definedName>
    <definedName name="TRNR_1916e7504397415f9ffc0e5780873c34_61_2" hidden="1">#REF!</definedName>
    <definedName name="TRNR_19331a6ead6a431ab259782ee2053851_61_2" hidden="1">#REF!</definedName>
    <definedName name="TRNR_19427c57f21640ab9d0a5351b76252cd_61_2" hidden="1">#REF!</definedName>
    <definedName name="TRNR_1964a95c6d1243278c780b53299518aa_99_6" hidden="1">#REF!</definedName>
    <definedName name="TRNR_1965a4a3b6d04b5b9fac60c21a952bbb_523_1" hidden="1">#REF!</definedName>
    <definedName name="TRNR_1976d89cf73945a7aed00f3016bdb00e_61_2" hidden="1">'[1]Gráfico 66'!#REF!</definedName>
    <definedName name="TRNR_198735131b234bf898490d8ad1e26f00_61_2" hidden="1">#REF!</definedName>
    <definedName name="TRNR_1991e1a01b94471a95c3ce5912c9ac9f_49_1" hidden="1">#REF!</definedName>
    <definedName name="TRNR_199d87a2531e43eba2672a32a67d667e_50_1" hidden="1">#REF!</definedName>
    <definedName name="TRNR_19a4301d2a80405b9f35acfefd5ea312_61_2" hidden="1">#REF!</definedName>
    <definedName name="TRNR_19d4cd0fea394cc3942875e4cb4a7137_6267_2" hidden="1">#REF!</definedName>
    <definedName name="TRNR_19db5c13d19449b180a7446bbfca9a35_61_2" hidden="1">#REF!</definedName>
    <definedName name="TRNR_19dd57b0302a431cb36ca3bdcb98b184_61_2" hidden="1">#REF!</definedName>
    <definedName name="TRNR_19e64f42edce4272ae9acc5a8262debf_61_2" hidden="1">#REF!</definedName>
    <definedName name="TRNR_1a015798ae3849f6a71b64a11c649d08_61_2" hidden="1">#REF!</definedName>
    <definedName name="TRNR_1a1a949443d64d47a5d70a88cf1b4eb1_919_10" hidden="1">#REF!</definedName>
    <definedName name="TRNR_1a1aa9a2e50645f292841bee9283874e_5769_4" hidden="1">#REF!</definedName>
    <definedName name="TRNR_1a1edc90a3e841309de991c1b3883396_61_2" hidden="1">#REF!</definedName>
    <definedName name="TRNR_1a26bbcf0ab54e74851c0b58bf2fa699_283_13" hidden="1">#REF!</definedName>
    <definedName name="TRNR_1a2cbcd13d94437689b209305c038f28_61_2" hidden="1">#REF!</definedName>
    <definedName name="TRNR_1a36e05143fe447daa928892211cadb5_0_0" hidden="1">#REF!</definedName>
    <definedName name="TRNR_1a36fb4ea6eb49c0ac578a320ca99b63_52_3" hidden="1">#REF!</definedName>
    <definedName name="TRNR_1a3bac1ce1144e06889e9962d38069a8_103_6" hidden="1">#REF!</definedName>
    <definedName name="TRNR_1a3d34c337f04a5190087b5a019e19e5_61_2" hidden="1">#REF!</definedName>
    <definedName name="TRNR_1a521283b2a94e20ac45eeaea2f80b00_61_2" hidden="1">#REF!</definedName>
    <definedName name="TRNR_1a6528ceb27843408ec5441c58223a9c_1037_27" hidden="1">#REF!</definedName>
    <definedName name="TRNR_1a6892054b444cd089cca9daef7d8898_282_26" hidden="1">#REF!</definedName>
    <definedName name="TRNR_1a71de03f04649a1ba4c61758c5b6259_61_2" hidden="1">#REF!</definedName>
    <definedName name="TRNR_1a7f2a5d12a54065b193378cc36fadd6_62_11" hidden="1">#REF!</definedName>
    <definedName name="TRNR_1a9a494773794bbaa91d9c91e4fd0547_50_2" hidden="1">#REF!</definedName>
    <definedName name="TRNR_1a9b7cd59f7644feb23dd714a7ced1f6_61_2" hidden="1">#REF!</definedName>
    <definedName name="TRNR_1aa0fdd17e0d4592b35aa3bc02db5503_61_2" hidden="1">#REF!</definedName>
    <definedName name="TRNR_1aaea9e2cd334fd4a76efa3475933cce_61_2" hidden="1">#REF!</definedName>
    <definedName name="TRNR_1ab9e1da3e4c43cd9e0064f82c9a4f59_6045_2" hidden="1">#REF!</definedName>
    <definedName name="TRNR_1ac496df017348ac9cce0362373b167f_276_6" hidden="1">#REF!</definedName>
    <definedName name="TRNR_1acf95ebf92b4980a4eb1b8d77418b5d_61_2" hidden="1">#REF!</definedName>
    <definedName name="TRNR_1ae2024fb37d4c62b8ae626b8e9da77f_55_3" hidden="1">#REF!</definedName>
    <definedName name="TRNR_1af587ef445f4cdc9307544b59e905b5_6449_2" hidden="1">#REF!</definedName>
    <definedName name="TRNR_1b2fac5755e74280a42478e6e03b82be_61_2" hidden="1">#REF!</definedName>
    <definedName name="TRNR_1b3dbeed98764616a988cc8e445c7e8b_61_1" hidden="1">#REF!</definedName>
    <definedName name="TRNR_1b5d2c95e6ba4db88958c89de6be1c29_206_1" hidden="1">#REF!</definedName>
    <definedName name="TRNR_1b76810501fa49e8b1af9c1fe0861d74_528_7" hidden="1">#REF!</definedName>
    <definedName name="TRNR_1b7bc18f2fed46ba89956eb0f8dc550b_61_2" hidden="1">'[1]Gráfico 66'!#REF!</definedName>
    <definedName name="TRNR_1b8674ecb5f849799036bda4fbe6b7e2_61_2" hidden="1">#REF!</definedName>
    <definedName name="TRNR_1baa92618df94c008ad8c0b432803547_61_2" hidden="1">#REF!</definedName>
    <definedName name="TRNR_1bb06ad7d0e64905802af8af5fa78534_525_10" hidden="1">#REF!</definedName>
    <definedName name="TRNR_1bb8a087e72f41128f937dca7df1217a_61_2" hidden="1">#REF!</definedName>
    <definedName name="TRNR_1bbc0874003e47ff8a18a80bde2c6e5a_61_2" hidden="1">'[1]Gráfico 66'!#REF!</definedName>
    <definedName name="TRNR_1bbc235be3a3411293d0be14b71a6821_61_2" hidden="1">#REF!</definedName>
    <definedName name="TRNR_1c5009baf48f4504ae88d955d271b51d_20_4" hidden="1">#REF!</definedName>
    <definedName name="TRNR_1c5268b9d51041e2b849fb26c85f20bc_5834_12" hidden="1">#REF!</definedName>
    <definedName name="TRNR_1c5d5805848d496a8ff623ec7a9168ff_528_6" hidden="1">#REF!</definedName>
    <definedName name="TRNR_1c6d0abdae874072a40cbddfb970ede4_61_2" hidden="1">#REF!</definedName>
    <definedName name="TRNR_1c72cfd7975646d1b9f9c482e1b49d55_18_9" hidden="1">#REF!</definedName>
    <definedName name="TRNR_1c78eb85308c4b03aeef2123c842b8cd_93_9" hidden="1">#REF!</definedName>
    <definedName name="TRNR_1c8b6637d1e14d38a1fbb8d2b07ab259_994_27" hidden="1">#REF!</definedName>
    <definedName name="TRNR_1c8fe946ef7e480bbb4c5d6008323b8e_6033_6" hidden="1">#REF!</definedName>
    <definedName name="TRNR_1c9f3d2501634099b0c0b44fa186903a_6045_2" hidden="1">#REF!</definedName>
    <definedName name="TRNR_1cb974d8237d41fe8af2dc0847f0d219_61_2" hidden="1">#REF!</definedName>
    <definedName name="TRNR_1cbd47c24e8e4b67a071e1739739d91b_61_2" hidden="1">#REF!</definedName>
    <definedName name="TRNR_1cc458b1269f44a589a7530714d07356_61_2" hidden="1">#REF!</definedName>
    <definedName name="TRNR_1cdfe4f18d15404d9c3d81988488efd7_61_2" hidden="1">#REF!</definedName>
    <definedName name="TRNR_1ce4655c3c604dc3ad96f1426e494ba4_2137_6" hidden="1">#REF!</definedName>
    <definedName name="TRNR_1ce55a6a407b43e3bec9403f0d8613d5_61_2" hidden="1">#REF!</definedName>
    <definedName name="TRNR_1cf87458f66f455ca992ff219396a0f4_61_2" hidden="1">#REF!</definedName>
    <definedName name="TRNR_1cfafe4dad334f35a69e29f5e8a41480_281_26" hidden="1">#REF!</definedName>
    <definedName name="TRNR_1d0698856ed7476cb36378e64e07c5de_52_50" hidden="1">#REF!</definedName>
    <definedName name="TRNR_1d0bf8b82d3f46a784d3a58f9422f196_61_2" hidden="1">#REF!</definedName>
    <definedName name="TRNR_1d308310aa60420a8e69e15618260027_2123_6" hidden="1">#REF!</definedName>
    <definedName name="TRNR_1d442ecf19264963a736333d9271eaaa_61_2" hidden="1">#REF!</definedName>
    <definedName name="TRNR_1d4ad17acfae4e268b841772121a2489_61_2" hidden="1">#REF!</definedName>
    <definedName name="TRNR_1d5c2bcfa4bf44488edaf3d05c4085ac_61_2" hidden="1">#REF!</definedName>
    <definedName name="TRNR_1d9439a96ffa466e85ca4e872f3cd4ff_525_10" hidden="1">#REF!</definedName>
    <definedName name="TRNR_1d97bbb14927400fb9b1748179b65431_54_3" hidden="1">#REF!</definedName>
    <definedName name="TRNR_1d9a298935014f0188e18706d2f79998_1306_1" hidden="1">#REF!</definedName>
    <definedName name="TRNR_1d9e558bb0ae4357b3ceeead53ac601d_528_6" hidden="1">#REF!</definedName>
    <definedName name="TRNR_1de74194f6cf434084567d2d0a68c635_528_6" hidden="1">#REF!</definedName>
    <definedName name="TRNR_1e08235981a34ce593c9da56fc7a0b61_61_2" hidden="1">#REF!</definedName>
    <definedName name="TRNR_1e1914bb55784f5d9a8dcd13263d804a_282_26" hidden="1">#REF!</definedName>
    <definedName name="TRNR_1e298e37890f46ff94fc3b165818e663_5897_6" hidden="1">#REF!</definedName>
    <definedName name="TRNR_1e3e794b7445428dba0bcce7a5b7996a_61_2" hidden="1">#REF!</definedName>
    <definedName name="TRNR_1e5b6763cbc747afbc4ff1477d41370e_316_10" hidden="1">#REF!</definedName>
    <definedName name="TRNR_1e5ce91c2f2343e9b5631a6f11a79424_61_2" hidden="1">#REF!</definedName>
    <definedName name="TRNR_1e6e55d0fd2e44fe92824c4f40064cc0_61_2" hidden="1">'[1]Gráfico 66'!#REF!</definedName>
    <definedName name="TRNR_1e6f361e426d4f90b1118519a88ccf3a_61_2" hidden="1">#REF!</definedName>
    <definedName name="TRNR_1e73a07131924e9aa62ecfac400e0311_61_2" hidden="1">#REF!</definedName>
    <definedName name="TRNR_1e774e33f4964ab2b0d469918653c89c_5850_12" hidden="1">#REF!</definedName>
    <definedName name="TRNR_1e7e19a0cadd46cbbe532e356a6af716_61_2" hidden="1">#REF!</definedName>
    <definedName name="TRNR_1e8724f5cb11401ea1f6f49a4a201248_61_2" hidden="1">#REF!</definedName>
    <definedName name="TRNR_1e879526a1fa4779be85cc9354181174_5811_4" hidden="1">#REF!</definedName>
    <definedName name="TRNR_1e88f9f43eb74cecbd2ec774427857b6_61_2" hidden="1">#REF!</definedName>
    <definedName name="TRNR_1e8e9403b7df4a38a803d1e3e3d9bdff_6045_7" hidden="1">#REF!</definedName>
    <definedName name="TRNR_1ea9aecb33f744a8bf380b571a763dd7_277_6" hidden="1">#REF!</definedName>
    <definedName name="TRNR_1ec06ba479e54a5b9cee72f3c9169d7b_61_2" hidden="1">#REF!</definedName>
    <definedName name="TRNR_1ed4c171f57d464e8ee48775df154730_61_2" hidden="1">#REF!</definedName>
    <definedName name="TRNR_1eeb000faab041ce8c8a2f267d85512d_61_2" hidden="1">#REF!</definedName>
    <definedName name="TRNR_1ef2cf85bfd746d2bcc64c83c7e46ad1_6025_6" hidden="1">#REF!</definedName>
    <definedName name="TRNR_1ef61db8374a43efb7c9c9d8135cc88f_61_2" hidden="1">#REF!</definedName>
    <definedName name="TRNR_1f0468ef9e8243e9b3010e2639354aad_6005_6" hidden="1">#REF!</definedName>
    <definedName name="TRNR_1f0776996e264e43937adac7a259ed0d_61_2" hidden="1">#REF!</definedName>
    <definedName name="TRNR_1f0a50bfac9146ff8447c28a07fd5114_61_2" hidden="1">#REF!</definedName>
    <definedName name="TRNR_1f12dba62a74430db04abe6e639c7de6_525_10" hidden="1">#REF!</definedName>
    <definedName name="TRNR_1f1b976f6e224f3b85672f66dda2face_52_3" hidden="1">#REF!</definedName>
    <definedName name="TRNR_1f2d13e1d05d46218d3f30962b6bb6d9_61_2" hidden="1">#REF!</definedName>
    <definedName name="TRNR_1f30bdebba0240b49a779d6912370429_6041_6" hidden="1">#REF!</definedName>
    <definedName name="TRNR_1f481b277f5348ad95f67918325ba760_61_2" hidden="1">#REF!</definedName>
    <definedName name="TRNR_1f4a9fb23a654d85a74c6581914589ba_25_6" hidden="1">#REF!</definedName>
    <definedName name="TRNR_1f557e4638174dbcaf4e3975d6f095c0_62_11" hidden="1">#REF!</definedName>
    <definedName name="TRNR_1f642f21fa6047f1a42cfccfe93bb36f_1061_27" hidden="1">#REF!</definedName>
    <definedName name="TRNR_1f7e4078c3a14a4a85ae9a93925fefed_5786_3" hidden="1">#REF!</definedName>
    <definedName name="TRNR_1f9b180cd0b042cbafdaa9f4a587eea5_61_2" hidden="1">#REF!</definedName>
    <definedName name="TRNR_1fa4d403d48a4dc7b554daaeb656dcb3_18_9" hidden="1">#REF!</definedName>
    <definedName name="TRNR_1fcbc76aefcd4be69355ad292463ebf7_6059_1" hidden="1">#REF!</definedName>
    <definedName name="TRNR_1fdf86270ef642a8a88b9300cec4453a_61_2" hidden="1">#REF!</definedName>
    <definedName name="TRNR_1fe3589e31874aeb9b5d5177d9836649_1226_27" hidden="1">#REF!</definedName>
    <definedName name="TRNR_1ff3678e228b4c6f9651a2e9fc3cf6c0_528_6" hidden="1">#REF!</definedName>
    <definedName name="TRNR_1ffd2b41ee4141d0928d3c11e65af7cf_25_6" hidden="1">#REF!</definedName>
    <definedName name="TRNR_2001e3c345834c0e90d76405e667436d_1_1" hidden="1">#REF!</definedName>
    <definedName name="TRNR_20104288315a4c76983c3d89f13aa321_59_3" hidden="1">#REF!</definedName>
    <definedName name="TRNR_201513f998264a14ab6f79ee3f17679e_5809_12" hidden="1">#REF!</definedName>
    <definedName name="TRNR_202de78592dc493faec7a920da3b7d8f_20_4" hidden="1">#REF!</definedName>
    <definedName name="TRNR_203761b508b24dfaa68ad3708fc00a81_61_2" hidden="1">#REF!</definedName>
    <definedName name="TRNR_203e29ea1ca04bf4b0016ee168b1c3ce_282_6" hidden="1">#REF!</definedName>
    <definedName name="TRNR_2040ac2d39b345ddb2e532ecc6fc6ac6_61_2" hidden="1">#REF!</definedName>
    <definedName name="TRNR_2045155723fe49ea84b50a6fd8fb96f4_61_2" hidden="1">#REF!</definedName>
    <definedName name="TRNR_204fe61a103546e380a068deb36d85be_61_2" hidden="1">#REF!</definedName>
    <definedName name="TRNR_2053f0336f5e4cd598f07b96cdcebfda_314_1" hidden="1">#REF!</definedName>
    <definedName name="TRNR_206e08d8f9f44611bbd95c85f7eb8d10_5806_6" hidden="1">#REF!</definedName>
    <definedName name="TRNR_207801e566c7489da18b8c9887e349e7_308_16" hidden="1">#REF!</definedName>
    <definedName name="TRNR_2086859c8b744e4e88a10a1e15be4062_1176_27" hidden="1">#REF!</definedName>
    <definedName name="TRNR_209f27881e804db5a2f8789a26bddd98_61_2" hidden="1">#REF!</definedName>
    <definedName name="TRNR_20a6052a5d25485a9ddd56fedc9ea5fd_5991_6" hidden="1">#REF!</definedName>
    <definedName name="TRNR_20a725021b3b43889a0045fe02ed93b5_5959_6" hidden="1">#REF!</definedName>
    <definedName name="TRNR_20b124b28d194028aef5109a4181e60b_61_2" hidden="1">#REF!</definedName>
    <definedName name="TRNR_20ca318e4f104bb586b672ea813d2665_61_2" hidden="1">#REF!</definedName>
    <definedName name="TRNR_20d2880a4130487faa816b7fdb5577f0_527_6" hidden="1">#REF!</definedName>
    <definedName name="TRNR_20d7d6f6104644878015d5555d24c98e_5728_12" hidden="1">#REF!</definedName>
    <definedName name="TRNR_20eead7e0f71499ca8e28150062c0517_61_2" hidden="1">#REF!</definedName>
    <definedName name="TRNR_20fd182529f94253858099ffda1e3615_61_2" hidden="1">#REF!</definedName>
    <definedName name="TRNR_2103a069e4b64b8ab6e8aaae1407b3cc_61_2" hidden="1">#REF!</definedName>
    <definedName name="TRNR_210dcd6ba5d24d35afecf6d796581093_61_2" hidden="1">#REF!</definedName>
    <definedName name="TRNR_211039279ff1455d8d6e1d515df03521_61_2" hidden="1">#REF!</definedName>
    <definedName name="TRNR_211d0dcc05dc4bf399185d5a3311b744_61_2" hidden="1">#REF!</definedName>
    <definedName name="TRNR_212a911879ad46b29936ae6e84b83184_61_2" hidden="1">#REF!</definedName>
    <definedName name="TRNR_2131d2def5a1405b839c34c2ff83a025_524_10" hidden="1">#REF!</definedName>
    <definedName name="TRNR_21435676e29b40e5ab47aabd960a6fbb_61_2" hidden="1">#REF!</definedName>
    <definedName name="TRNR_2147e1199ea5464f8a0551a8b72bbcd1_61_2" hidden="1">#REF!</definedName>
    <definedName name="TRNR_214876ebafdc42dfaa996be91ed19861_50_1" hidden="1">#REF!</definedName>
    <definedName name="TRNR_214f049f42524c11a9aa9a6b5dde4094_282_26" hidden="1">#REF!</definedName>
    <definedName name="TRNR_21522e803da24193955f82bf386fed5d_528_6" hidden="1">#REF!</definedName>
    <definedName name="TRNR_2154fba750ef42838b610277bde2ba90_61_2" hidden="1">#REF!</definedName>
    <definedName name="TRNR_21552ccfc8b941b8a9c49ffda6dcb374_61_2" hidden="1">#REF!</definedName>
    <definedName name="TRNR_21627e86ca354dada193dd19d3f66097_52_3" hidden="1">#REF!</definedName>
    <definedName name="TRNR_216438e7ea154726a6d966c7df11c210_61_2" hidden="1">#REF!</definedName>
    <definedName name="TRNR_2170403acf5e4ede986fc14752144a3a_61_2" hidden="1">#REF!</definedName>
    <definedName name="TRNR_2171eeeed72045a5a642ece9010635dd_61_2" hidden="1">#REF!</definedName>
    <definedName name="TRNR_21899542edbf4d9a8b5190e0d35c6f61_61_2" hidden="1">#REF!</definedName>
    <definedName name="TRNR_21a722b67f85434ab25b972ab36fbf10_61_2" hidden="1">#REF!</definedName>
    <definedName name="TRNR_21bd2c7f88a14151b25aad980b3335e2_61_2" hidden="1">#REF!</definedName>
    <definedName name="TRNR_21d3fc9daf5445d2931ce8356cdb430f_61_2" hidden="1">#REF!</definedName>
    <definedName name="TRNR_21d8a13715db406699e7a8f39cd2cf38_6183_2" hidden="1">#REF!</definedName>
    <definedName name="TRNR_21e4097b1bbf433ca478e3da66090bc9_9_1" hidden="1">#REF!</definedName>
    <definedName name="TRNR_21e9540a387c4830af3361cf12686a73_525_10" hidden="1">#REF!</definedName>
    <definedName name="TRNR_21ea2110485c4358a4291ec04bf56781_11_6" hidden="1">#REF!</definedName>
    <definedName name="TRNR_21efa498f2af4344a81cad5780109ae7_523_1" hidden="1">#REF!</definedName>
    <definedName name="TRNR_22144b54151b44f884ba30f50a1cec98_61_2" hidden="1">#REF!</definedName>
    <definedName name="TRNR_2234027cc7be4e72b381307e975d62ff_528_7" hidden="1">#REF!</definedName>
    <definedName name="TRNR_2237b844f9674fada1b43899a1cf5269_61_2" hidden="1">'[1]Gráfico 66'!#REF!</definedName>
    <definedName name="TRNR_2247b31197fd4416b3624514d5b165a9_527_7" hidden="1">#REF!</definedName>
    <definedName name="TRNR_22511d0e0e5a4a868f5fbc21f608a054_61_2" hidden="1">#REF!</definedName>
    <definedName name="TRNR_2252b5bc0f334809922aa2fa34c7e95f_4_2" hidden="1">#REF!</definedName>
    <definedName name="TRNR_2269706b24464fde8da6668a621e2823_61_2" hidden="1">#REF!</definedName>
    <definedName name="TRNR_226c05930648462e8979a979e746900f_50_2" hidden="1">#REF!</definedName>
    <definedName name="TRNR_2272e26f802046af8396fe7a6cae0350_528_7" hidden="1">#REF!</definedName>
    <definedName name="TRNR_22777ac9a48346d483178befd3861a32_102_6" hidden="1">#REF!</definedName>
    <definedName name="TRNR_227a85cc39694cff9ecc4d936508aadf_528_6" hidden="1">#REF!</definedName>
    <definedName name="TRNR_227afa46cd3249679e9210cffce65d3a_61_2" hidden="1">#REF!</definedName>
    <definedName name="TRNR_227b0a7fde30446b8458ba22f264fa70_61_2" hidden="1">#REF!</definedName>
    <definedName name="TRNR_22933694f1ce4a7c9a7bcf1dc76fd31c_61_2" hidden="1">#REF!</definedName>
    <definedName name="TRNR_22b3817bd16f481ba050898dcbb2b2df_61_2" hidden="1">#REF!</definedName>
    <definedName name="TRNR_22c8befae7684044aceb82cb9973c6c8_61_2" hidden="1">#REF!</definedName>
    <definedName name="TRNR_232a0a3f74e1405cb894c588617dfb9b_1080_27" hidden="1">#REF!</definedName>
    <definedName name="TRNR_2331d598f93f4f8c851e23a99ad87494_61_2" hidden="1">#REF!</definedName>
    <definedName name="TRNR_23352e3118624655b745be64a33a66a9_61_2" hidden="1">#REF!</definedName>
    <definedName name="TRNR_233cdc33c4f245a48595776b7983aeb1_61_2" hidden="1">#REF!</definedName>
    <definedName name="TRNR_233dcdbb371a4e7e8e494aa7b334ed6a_61_2" hidden="1">#REF!</definedName>
    <definedName name="TRNR_234a75d8153d425ead8c14382e229acb_55_3" hidden="1">#REF!</definedName>
    <definedName name="TRNR_234c4d3320964a499f31f8e11c69e02a_6267_2" hidden="1">#REF!</definedName>
    <definedName name="TRNR_234d6150630c48babd561b6a42918317_283_13" hidden="1">#REF!</definedName>
    <definedName name="TRNR_2362353bb6254c94b0efa4c59097964d_61_2" hidden="1">#REF!</definedName>
    <definedName name="TRNR_236501451f284add8667d386a60180e4_61_2" hidden="1">#REF!</definedName>
    <definedName name="TRNR_2365c9bf4f7f4f16861883e9d6b90c23_61_2" hidden="1">#REF!</definedName>
    <definedName name="TRNR_238109181fcc459a8be3cd33e24d8a78_61_2" hidden="1">#REF!</definedName>
    <definedName name="TRNR_238c5d17630b48c0ab94c3ae9462f5ff_61_2" hidden="1">'[1]Gráfico 66'!#REF!</definedName>
    <definedName name="TRNR_23935038428b46a7b1354bbe8dd6f09f_6024_6" hidden="1">#REF!</definedName>
    <definedName name="TRNR_2395a77e96004ed5803e4ce3f56c8470_528_7" hidden="1">#REF!</definedName>
    <definedName name="TRNR_23986c3d1d4541919088588b78010262_61_2" hidden="1">#REF!</definedName>
    <definedName name="TRNR_23988e558310439f83dfb848ad73dbbd_6200_6" hidden="1">#REF!</definedName>
    <definedName name="TRNR_239b8dfe623d4e3985fa9d1b5cbff4c7_321_16" hidden="1">#REF!</definedName>
    <definedName name="TRNR_23a5eee392ca480fb15c5b66cdaca9f3_61_2" hidden="1">#REF!</definedName>
    <definedName name="TRNR_23b2279d0e034ba9b47b675c15852019_267_1" hidden="1">#REF!</definedName>
    <definedName name="TRNR_23b480ae915c471dba9fb768b1a0f4a0_25_6" hidden="1">#REF!</definedName>
    <definedName name="TRNR_23b768228a274c7089fc5d04d53dd0e9_61_2" hidden="1">#REF!</definedName>
    <definedName name="TRNR_23dfd168e47e40bc9253bb304ad09cbc_61_2" hidden="1">#REF!</definedName>
    <definedName name="TRNR_241115247807415b8d89aa233e031e15_61_2" hidden="1">#REF!</definedName>
    <definedName name="TRNR_2425a9f9e6c448e6a2a6fae75bfeb96e_61_2" hidden="1">#REF!</definedName>
    <definedName name="TRNR_2428dd59a0a4446cb7a6c96721eaa944_61_2" hidden="1">#REF!</definedName>
    <definedName name="TRNR_242e35090ba240f89bd011a62b8b4914_53_3" hidden="1">#REF!</definedName>
    <definedName name="TRNR_2439473dfb5d4c299120204aa9f421a1_61_2" hidden="1">#REF!</definedName>
    <definedName name="TRNR_24545bac26884608a392868f75ce0dd2_108_3" hidden="1">#REF!</definedName>
    <definedName name="TRNR_245a51f0bc024b6a8b47f04c7716be3a_276_6" hidden="1">#REF!</definedName>
    <definedName name="TRNR_245cfae1eae54b8296d9b7c3ad49f42d_2107_6" hidden="1">#REF!</definedName>
    <definedName name="TRNR_24657e8ba7a94bd2b1d031dfd36192a6_6193_5" hidden="1">#REF!</definedName>
    <definedName name="TRNR_247539b6d1584c3f920b2119b92f653e_61_2" hidden="1">#REF!</definedName>
    <definedName name="TRNR_247a5f7f5b8a4de9a8203028e066622b_528_7" hidden="1">#REF!</definedName>
    <definedName name="TRNR_248547e5f3cc4da385cfeae91b5b1d25_61_2" hidden="1">#REF!</definedName>
    <definedName name="TRNR_248a9e05347941598239820d60c37fb2_528_6" hidden="1">#REF!</definedName>
    <definedName name="TRNR_248fb3086e134fd7b96b7cec8e4bef0a_61_2" hidden="1">'[1]Gráfico 66'!#REF!</definedName>
    <definedName name="TRNR_249b5b383b7742b1a5e8be71e052dfec_19_9" hidden="1">#REF!</definedName>
    <definedName name="TRNR_24aee751954444bc865c3c5f6af50f40_61_2" hidden="1">#REF!</definedName>
    <definedName name="TRNR_24b4200a799c49948d97e9169a09bb51_61_2" hidden="1">#REF!</definedName>
    <definedName name="TRNR_24b50da48c1d4171ab0859bec3a534e9_5857_12" hidden="1">#REF!</definedName>
    <definedName name="TRNR_24bb29a14ede4683a34542cf5560ce02_61_2" hidden="1">#REF!</definedName>
    <definedName name="TRNR_24bf7fa0f0f84576875f64948e0b4a0a_61_2" hidden="1">#REF!</definedName>
    <definedName name="TRNR_24cea542f60d4ad28c396ddf7f0fec03_74_11" hidden="1">#REF!</definedName>
    <definedName name="TRNR_24e3c278e7794195a172286e1d479699_61_2" hidden="1">#REF!</definedName>
    <definedName name="TRNR_24fe7dc0d4c7437f8be3fc169cf97de9_61_2" hidden="1">'[1]Gráfico 66'!#REF!</definedName>
    <definedName name="TRNR_2505f2d6a8164b4599c2276729f29478_61_2" hidden="1">#REF!</definedName>
    <definedName name="TRNR_2523880cd43340df9ec7dd54f919415a_61_2" hidden="1">'[1]Gráfico 66'!#REF!</definedName>
    <definedName name="TRNR_2538e554172c41779e678e374c787397_61_2" hidden="1">#REF!</definedName>
    <definedName name="TRNR_254c20c4546845a8a43003bb53660171_0_0" hidden="1">#REF!</definedName>
    <definedName name="TRNR_254e41e78e3c4248a0d88df12667282e_61_2" hidden="1">#REF!</definedName>
    <definedName name="TRNR_256737a7541847d0807f755a5cc02d9d_61_2" hidden="1">#REF!</definedName>
    <definedName name="TRNR_2584c15d980a40edb8fc91427d085634_61_2" hidden="1">#REF!</definedName>
    <definedName name="TRNR_2594b55f80d34831a498cec1579f2cf1_6045_2" hidden="1">#REF!</definedName>
    <definedName name="TRNR_259def14ae6d46df95635349d46b4962_61_2" hidden="1">'[1]Gráfico 66'!#REF!</definedName>
    <definedName name="TRNR_25a446b062374b71abcb2183bffec287_528_7" hidden="1">#REF!</definedName>
    <definedName name="TRNR_25a69475de5341e5b68aa294193df6a0_528_7" hidden="1">#REF!</definedName>
    <definedName name="TRNR_25b43882fcd84f628d4b17362d546b35_61_2" hidden="1">#REF!</definedName>
    <definedName name="TRNR_25bd97f05ed240ad8e96a42ca2c5f4a5_61_2" hidden="1">#REF!</definedName>
    <definedName name="TRNR_25c0a9e8fbd248bf9e3a51f5d23a9dea_528_7" hidden="1">#REF!</definedName>
    <definedName name="TRNR_25cc26c81b5d467abb47600eca24ebc9_284_26" hidden="1">#REF!</definedName>
    <definedName name="TRNR_25df63f7194348e5b6b9a11f64d5aaa8_977_17" hidden="1">#REF!</definedName>
    <definedName name="TRNR_25e188ad8a544bceadea7402c499e973_61_2" hidden="1">#REF!</definedName>
    <definedName name="TRNR_25ec83b41a4540128f67e6def76ac852_6066_6" hidden="1">#REF!</definedName>
    <definedName name="TRNR_25fec78767964667be27b5b5e9c680ac_5869_12" hidden="1">#REF!</definedName>
    <definedName name="TRNR_25ff2224e7c748ce8d2a24135878716e_19_9" hidden="1">#REF!</definedName>
    <definedName name="TRNR_26002f0c6acc4b7783b26902c83d6a4e_61_2" hidden="1">#REF!</definedName>
    <definedName name="TRNR_260bddeb1f4641ae86c8354a8e11002e_61_2" hidden="1">#REF!</definedName>
    <definedName name="TRNR_26142078e9fe44bcb04a050966bbcacc_52_3" hidden="1">#REF!</definedName>
    <definedName name="TRNR_261a9d5fee0f480bbe76a63b33c7dcd2_61_2" hidden="1">#REF!</definedName>
    <definedName name="TRNR_261cfea61e114cb1923a10194cec81c2_1033_27" hidden="1">#REF!</definedName>
    <definedName name="TRNR_261f6f36201e47eabf999afd1918d97f_61_2" hidden="1">#REF!</definedName>
    <definedName name="TRNR_2620b4f32ee74a7dafa647e123c0554c_61_2" hidden="1">'[1]Gráfico 66'!#REF!</definedName>
    <definedName name="TRNR_262780abd1dd48388cad1bbc0771bd4e_61_2" hidden="1">#REF!</definedName>
    <definedName name="TRNR_2645795a318645bda46bc591f8f60c54_1870_2" hidden="1">#REF!</definedName>
    <definedName name="TRNR_2663752958634d528783fa38ddbdbe0a_2077_6" hidden="1">#REF!</definedName>
    <definedName name="TRNR_268e31dd56f5418d9f262ddc72b6d70d_93_10" hidden="1">#REF!</definedName>
    <definedName name="TRNR_2691e9f44aec49dfbba58eb250d9ec4c_61_2" hidden="1">#REF!</definedName>
    <definedName name="TRNR_26b2b9d44d0248fbb9b49dc4fa14880e_61_2" hidden="1">#REF!</definedName>
    <definedName name="TRNR_26ba0c27d62644749162b2b0fba0706f_61_2" hidden="1">#REF!</definedName>
    <definedName name="TRNR_26fb4efcbfd54354ab692e78b368217b_5974_6" hidden="1">#REF!</definedName>
    <definedName name="TRNR_2700a720263e435598e4b8cf7f2227fe_3921_10" hidden="1">#REF!</definedName>
    <definedName name="TRNR_2706ee360a3e4ba597d9cd3d3a08d5aa_20_4" hidden="1">#REF!</definedName>
    <definedName name="TRNR_27099b624f944872a9f0b09e86c3974b_61_2" hidden="1">#REF!</definedName>
    <definedName name="TRNR_2709aea3b6df43f08804b30965c3468b_9_6" hidden="1">#REF!</definedName>
    <definedName name="TRNR_271339f23a394d0cae022237cab36bc6_59_3" hidden="1">#REF!</definedName>
    <definedName name="TRNR_271e5cb9822845569407cf93f5764719_249_40" hidden="1">#REF!</definedName>
    <definedName name="TRNR_272a5e9f0a264d378ca5e422a92291b2_5881_6" hidden="1">#REF!</definedName>
    <definedName name="TRNR_272e60fa0b4a422ab7808943ba01ef68_61_2" hidden="1">#REF!</definedName>
    <definedName name="TRNR_272ed060cf2a4c71b45f04ecf76857c3_56_3" hidden="1">#REF!</definedName>
    <definedName name="TRNR_2744fe2744ce47e7b9b9e0f87364b9e4_61_2" hidden="1">#REF!</definedName>
    <definedName name="TRNR_2745e0b9c9624a38ae77b7d652e70d7d_61_2" hidden="1">#REF!</definedName>
    <definedName name="TRNR_274898da3b274e55a7b267218de52d35_2018_3" hidden="1">#REF!</definedName>
    <definedName name="TRNR_2748e486e4a64080a035d22bcf1d9903_61_2" hidden="1">#REF!</definedName>
    <definedName name="TRNR_275630956d4245b184668de414c941c5_61_2" hidden="1">'[1]Gráfico 66'!#REF!</definedName>
    <definedName name="TRNR_2778a3b608584eb0977ca842f9d595e7_50_2" hidden="1">#REF!</definedName>
    <definedName name="TRNR_2779e6c46ef74710bace480b9562f6a1_5811_12" hidden="1">#REF!</definedName>
    <definedName name="TRNR_277c9d930bc34fa1984a5cedaf78cf84_61_2" hidden="1">#REF!</definedName>
    <definedName name="TRNR_27cd97b667194add81ec85a024eded2d_61_2" hidden="1">#REF!</definedName>
    <definedName name="TRNR_27e761b6882c4f1c880c57698226ba52_61_2" hidden="1">#REF!</definedName>
    <definedName name="TRNR_27f05cf11a454a1eb61f30dd177f984d_29_2" hidden="1">#REF!</definedName>
    <definedName name="TRNR_27f7e122bc724e169deaddb50fd627f7_61_2" hidden="1">#REF!</definedName>
    <definedName name="TRNR_27fdeb1adf26472c9a6031021cba9c0b_319_1" hidden="1">'[1]Gráfico 65'!#REF!</definedName>
    <definedName name="TRNR_27fecbc795c24a5698875fc45031a162_20_4" hidden="1">#REF!</definedName>
    <definedName name="TRNR_280ae79530854ceabd690ec0061091da_61_2" hidden="1">'[1]Gráfico 66'!#REF!</definedName>
    <definedName name="TRNR_283a8464aa2b445e94aa93d51f201e23_61_2" hidden="1">#REF!</definedName>
    <definedName name="TRNR_283bc93b34854690b03fec2601e4ffd3_86_10" hidden="1">#REF!</definedName>
    <definedName name="TRNR_283ed748228c4547bbde0c28a374d39c_9_6" hidden="1">#REF!</definedName>
    <definedName name="TRNR_2846c98fdc6646d4ad71ee7e4df8dc85_962_2" hidden="1">#REF!</definedName>
    <definedName name="TRNR_286239d8e3bd4c44b13df17ebc1ea32c_977_1" hidden="1">#REF!</definedName>
    <definedName name="TRNR_287454b32f1d42de87d3e604855f6881_2069_6" hidden="1">#REF!</definedName>
    <definedName name="TRNR_28a72a5cffaf4299a0d3bb83e867b428_61_2" hidden="1">#REF!</definedName>
    <definedName name="TRNR_28bc6b47e0f94eacb0db65110c8c12f7_61_2" hidden="1">'[1]Gráfico 66'!#REF!</definedName>
    <definedName name="TRNR_28cd43956e0f46d1914d9df9571f8f8c_61_2" hidden="1">#REF!</definedName>
    <definedName name="TRNR_28d5f772e49a4a7481ae68a15fd764ea_61_2" hidden="1">'[1]Gráfico 66'!#REF!</definedName>
    <definedName name="TRNR_28dab6f085cd4e5383d56c4e3bbe7d26_309_7" hidden="1">#REF!</definedName>
    <definedName name="TRNR_28ee07ca422a4e90968c00de27d67c96_45_3" hidden="1">#REF!</definedName>
    <definedName name="TRNR_291686cbca614c8baeffaf290137cf8e_2050_6" hidden="1">#REF!</definedName>
    <definedName name="TRNR_29246ca7757142099b8261a23689fcb1_61_2" hidden="1">#REF!</definedName>
    <definedName name="TRNR_29500a36202c40ab99c4eaede51c0cdc_2150_6" hidden="1">#REF!</definedName>
    <definedName name="TRNR_2958b105dfd44e0fa36c21b6cb3f824a_527_7" hidden="1">#REF!</definedName>
    <definedName name="TRNR_296af14ccf3b463dbd46d59a40ffec62_6107_6" hidden="1">#REF!</definedName>
    <definedName name="TRNR_298977720d414b958023b6dc8896df26_61_2" hidden="1">#REF!</definedName>
    <definedName name="TRNR_29939a90c02f43a899879bd1ac0c142f_52_3" hidden="1">#REF!</definedName>
    <definedName name="TRNR_299bcff4a6104aeb8117e83d053fcf3f_61_2" hidden="1">#REF!</definedName>
    <definedName name="TRNR_29a5f309b6e942398031d1b73fc4127d_61_2" hidden="1">#REF!</definedName>
    <definedName name="TRNR_29b8e9f421774ce58c6ad15e603cb154_61_2" hidden="1">'[1]Gráfico 66'!#REF!</definedName>
    <definedName name="TRNR_29be5fb2a9d8490f8fc2bf0cf691d314_61_2" hidden="1">#REF!</definedName>
    <definedName name="TRNR_29bf2347f804433f814897bd48848afe_528_6" hidden="1">#REF!</definedName>
    <definedName name="TRNR_29d4026090c2454dbf4b3ebca44ad105_280_26" hidden="1">#REF!</definedName>
    <definedName name="TRNR_29f228452bce49eda6ba358d1e0c477b_61_2" hidden="1">#REF!</definedName>
    <definedName name="TRNR_2a00fe35b5b943c5a11808942ccadc07_5982_6" hidden="1">#REF!</definedName>
    <definedName name="TRNR_2a09552d79244f8dbc9e7a27e36ca99c_61_2" hidden="1">#REF!</definedName>
    <definedName name="TRNR_2a0f47a20689416694fa730901b77f0f_61_2" hidden="1">'[1]Gráfico 66'!#REF!</definedName>
    <definedName name="TRNR_2a11ac7ad5174e9c99aae6ef8710a538_20_4" hidden="1">#REF!</definedName>
    <definedName name="TRNR_2a24f52d418346bd9d3160883a9235ed_528_7" hidden="1">#REF!</definedName>
    <definedName name="TRNR_2a2b23e03df2445b8485ef211cfaa578_61_2" hidden="1">#REF!</definedName>
    <definedName name="TRNR_2a2cc39ace8b4ce59a431ce9a845bdd5_61_2" hidden="1">#REF!</definedName>
    <definedName name="TRNR_2a30ed00848d4466bf15e2ffff27e6a4_61_2" hidden="1">#REF!</definedName>
    <definedName name="TRNR_2a5809e500be4b828afa09b684ca694f_6019_6" hidden="1">#REF!</definedName>
    <definedName name="TRNR_2a62d88ed0e84d03bccd379694e11c72_20_4" hidden="1">#REF!</definedName>
    <definedName name="TRNR_2a66bde9c4814299b707427a23318006_61_2" hidden="1">#REF!</definedName>
    <definedName name="TRNR_2a7211e354c94c8e9554e86df422fa8d_61_2" hidden="1">#REF!</definedName>
    <definedName name="TRNR_2a724a73c57949ba87fdac295a8efeb5_61_2" hidden="1">#REF!</definedName>
    <definedName name="TRNR_2a7e416fa1fe44a182188711bda8259e_61_2" hidden="1">#REF!</definedName>
    <definedName name="TRNR_2aa03a9ee844436cb62175481371c094_61_2" hidden="1">#REF!</definedName>
    <definedName name="TRNR_2aa1d7ca22a44697b73fd840f59d31fc_61_2" hidden="1">#REF!</definedName>
    <definedName name="TRNR_2aa2b852b7c941afa194c7e6f3659b1d_61_2" hidden="1">#REF!</definedName>
    <definedName name="TRNR_2ace7cc884f1483a8897ff9889a0a4ac_527_7" hidden="1">#REF!</definedName>
    <definedName name="TRNR_2adb7c717be34aaeb5052ff0ed3703dd_20_4" hidden="1">#REF!</definedName>
    <definedName name="TRNR_2ade8c9b15fe46ebb32e51398c3fa4e4_61_2" hidden="1">#REF!</definedName>
    <definedName name="TRNR_2af07cd71f06450f9991ac3b25c79cb9_61_2" hidden="1">#REF!</definedName>
    <definedName name="TRNR_2b09eab64b6d477dac33d40f96c20b12_61_2" hidden="1">#REF!</definedName>
    <definedName name="TRNR_2b0c2dc7465543d4b5839d81472dcc90_61_2" hidden="1">#REF!</definedName>
    <definedName name="TRNR_2b19aeceedf747a4b2b0b01611f68f8d_61_2" hidden="1">#REF!</definedName>
    <definedName name="TRNR_2b1ec05e50144c8ab5df13a39d263402_61_2" hidden="1">#REF!</definedName>
    <definedName name="TRNR_2b25b77a10f442ddb450e534d74cda60_61_2" hidden="1">#REF!</definedName>
    <definedName name="TRNR_2b2c0b05ec464c9994240d0f885f244b_61_2" hidden="1">#REF!</definedName>
    <definedName name="TRNR_2b2c5640da654a4188c4d575aa310399_61_2" hidden="1">#REF!</definedName>
    <definedName name="TRNR_2b360e8c87b94de98283c19415ff2124_61_2" hidden="1">#REF!</definedName>
    <definedName name="TRNR_2b3ee61a521543969080854627407282_280_26" hidden="1">#REF!</definedName>
    <definedName name="TRNR_2b4e6e0cbc544a2293d7670e88eb749d_61_2" hidden="1">#REF!</definedName>
    <definedName name="TRNR_2b56613ee94b49d080f8e3e12cb6a2a0_61_2" hidden="1">#REF!</definedName>
    <definedName name="TRNR_2b58f00e008344879b30d9507fd8713b_61_2" hidden="1">#REF!</definedName>
    <definedName name="TRNR_2b5a64c6f38a4b2e86572b76b9a2eab7_61_2" hidden="1">#REF!</definedName>
    <definedName name="TRNR_2b63eb5fe66e4589ae50287726a276d5_61_2" hidden="1">#REF!</definedName>
    <definedName name="TRNR_2b82bf4efa53465a8aa601ca96292e85_101_6" hidden="1">#REF!</definedName>
    <definedName name="TRNR_2b86058529e44d6684a9bb7b8230bd69_984_27" hidden="1">#REF!</definedName>
    <definedName name="TRNR_2b8872c711a840ffbc650f695a489a09_61_2" hidden="1">#REF!</definedName>
    <definedName name="TRNR_2b8b6aa1622c45489cf8ff2cfaeccc09_61_2" hidden="1">'[1]Gráfico 66'!#REF!</definedName>
    <definedName name="TRNR_2b9d7066e2a744f4913fa3324034378d_276_6" hidden="1">#REF!</definedName>
    <definedName name="TRNR_2ba93c31119e4b2c9b562964219e3b00_310_16" hidden="1">#REF!</definedName>
    <definedName name="TRNR_2bac358367534181a1af07e07c2fb28e_61_2" hidden="1">#REF!</definedName>
    <definedName name="TRNR_2bdf3ddfa5dc4a33bb2d1ae5fb6f3794_61_2" hidden="1">#REF!</definedName>
    <definedName name="TRNR_2be1367a7dbb4c2482baa1d464cf47c9_61_2" hidden="1">#REF!</definedName>
    <definedName name="TRNR_2beb61701899410d9c8b16bff84e8764_1193_27" hidden="1">#REF!</definedName>
    <definedName name="TRNR_2c031f0469db4bd68ab08a9af05a17b4_61_2" hidden="1">#REF!</definedName>
    <definedName name="TRNR_2c0351956c004579aab973f6b60edb3c_61_2" hidden="1">'[1]Gráfico 66'!#REF!</definedName>
    <definedName name="TRNR_2c0d2a9263104a649ff5516cdd6f0b44_528_6" hidden="1">#REF!</definedName>
    <definedName name="TRNR_2c203a2e3d384893a9307dee6e074af5_61_2" hidden="1">#REF!</definedName>
    <definedName name="TRNR_2c2606e1df4041188fce6438ab9cfe2c_61_2" hidden="1">'[1]Gráfico 66'!#REF!</definedName>
    <definedName name="TRNR_2c2ec9a7923a4e23995ed28c594133c6_61_2" hidden="1">#REF!</definedName>
    <definedName name="TRNR_2c38cda807554050a9ca74f30529e9b7_528_7" hidden="1">#REF!</definedName>
    <definedName name="TRNR_2c42c6fa87b243eb873d380f455b150b_61_2" hidden="1">#REF!</definedName>
    <definedName name="TRNR_2c4a567d0f964dda83c3a92c71125287_61_2" hidden="1">#REF!</definedName>
    <definedName name="TRNR_2c4fc89188d647d382400b4a3262dad2_61_2" hidden="1">#REF!</definedName>
    <definedName name="TRNR_2c5179f9eb674ec7a15ce97070455258_60_3" hidden="1">#REF!</definedName>
    <definedName name="TRNR_2c55ed6f3f704384a7703deff518b9a2_61_2" hidden="1">#REF!</definedName>
    <definedName name="TRNR_2c580f2a441048b6965f5c0280be6428_62_36" hidden="1">#REF!</definedName>
    <definedName name="TRNR_2c5f8ed3b8d1431ea156b054585e0bbe_61_2" hidden="1">#REF!</definedName>
    <definedName name="TRNR_2c655322acb24fefbb06c63e0a10ca75_61_2" hidden="1">#REF!</definedName>
    <definedName name="TRNR_2c6b1a9204fd470c8b40d89b44d293f8_61_2" hidden="1">#REF!</definedName>
    <definedName name="TRNR_2c8489aac24a4b91ba60b8c2d6e145e2_61_2" hidden="1">#REF!</definedName>
    <definedName name="TRNR_2c9267ca5b4940f281d25f46b8610631_61_2" hidden="1">'[1]Gráfico 66'!#REF!</definedName>
    <definedName name="TRNR_2c9bcdd0c85549fe9af4936919b1549f_524_2" hidden="1">#REF!</definedName>
    <definedName name="TRNR_2c9bf7374ce44964b1d2ba852b5b6b08_61_2" hidden="1">#REF!</definedName>
    <definedName name="TRNR_2c9cf93d408d4dcaa1beb304b15812e1_61_2" hidden="1">#REF!</definedName>
    <definedName name="TRNR_2caab3d26f214ee69bc411d9276a6f1e_5902_6" hidden="1">#REF!</definedName>
    <definedName name="TRNR_2caafc5ea416449080255d5851945860_61_2" hidden="1">#REF!</definedName>
    <definedName name="TRNR_2cd43dcb331442b68e8e4e9a8eaca3cd_19_9" hidden="1">#REF!</definedName>
    <definedName name="TRNR_2cd7bd60531047cf9785111623ce61bf_2057_6" hidden="1">#REF!</definedName>
    <definedName name="TRNR_2cdec351c8f24ed8a5cb37b68cdc4259_61_2" hidden="1">#REF!</definedName>
    <definedName name="TRNR_2ce161d597c04490855d054e566531cf_977_26" hidden="1">#REF!</definedName>
    <definedName name="TRNR_2ce2cd44da6a49a29a5dd341278794c5_61_12" hidden="1">#REF!</definedName>
    <definedName name="TRNR_2d050190a42e472baf241edd29e3e3f5_528_7" hidden="1">#REF!</definedName>
    <definedName name="TRNR_2d0f2e9e34da4255be6ac2035d6ccf3d_98_6" hidden="1">#REF!</definedName>
    <definedName name="TRNR_2d213250f9c24d359130e0b53c624f48_61_2" hidden="1">#REF!</definedName>
    <definedName name="TRNR_2d2339958c764653a3e65620fc50aab9_61_2" hidden="1">#REF!</definedName>
    <definedName name="TRNR_2d286c615a3041a08afaaddd7e4bb979_528_6" hidden="1">#REF!</definedName>
    <definedName name="TRNR_2d36270bcb6b48b9bb638e73555aec9e_528_7" hidden="1">#REF!</definedName>
    <definedName name="TRNR_2d3803e02e5f4810b07bd6157a554a34_282_26" hidden="1">#REF!</definedName>
    <definedName name="TRNR_2d40b1e5cf594e598aa8b97b333c4702_61_2" hidden="1">'[1]Gráfico 66'!#REF!</definedName>
    <definedName name="TRNR_2d47b8ef56ae4959a91682d77079112f_61_2" hidden="1">#REF!</definedName>
    <definedName name="TRNR_2d48bab8cb45402ab0b59802df9d4206_61_2" hidden="1">#REF!</definedName>
    <definedName name="TRNR_2d703afd5c884fdfbd873009fc64971e_61_2" hidden="1">#REF!</definedName>
    <definedName name="TRNR_2d714e8bb1ef4a9d90f96d8f534de8ef_527_7" hidden="1">#REF!</definedName>
    <definedName name="TRNR_2d738704a82047f49f803c93add4f065_61_2" hidden="1">#REF!</definedName>
    <definedName name="TRNR_2d85a514d03840178c9277c6c0d6722c_103_6" hidden="1">#REF!</definedName>
    <definedName name="TRNR_2d8ce752042a49c4a64746b1c7fd8f10_1111_27" hidden="1">#REF!</definedName>
    <definedName name="TRNR_2d93b7731ede4526ba3258eb31442153_61_2" hidden="1">#REF!</definedName>
    <definedName name="TRNR_2da53d34614e44189cbf6deaf77b52b4_6451_2" hidden="1">#REF!</definedName>
    <definedName name="TRNR_2dac46d76bbc4a089dad6ca042eb39ff_62_11" hidden="1">#REF!</definedName>
    <definedName name="TRNR_2db86c5ea43b49079557d82c1d013ff8_61_2" hidden="1">#REF!</definedName>
    <definedName name="TRNR_2db9ce01b802414a89c51d20f7733e53_61_2" hidden="1">#REF!</definedName>
    <definedName name="TRNR_2dc3afd66c5142c5a208bc7a30acb7e4_61_2" hidden="1">#REF!</definedName>
    <definedName name="TRNR_2de2b2e2dea842af9c9019deec213659_61_2" hidden="1">#REF!</definedName>
    <definedName name="TRNR_2decdce3fc58428ab3dc2063b82c5f7c_5920_4" hidden="1">#REF!</definedName>
    <definedName name="TRNR_2e01df38349a4112b3948867496919b8_61_2" hidden="1">#REF!</definedName>
    <definedName name="TRNR_2e06b1d99a5c43c5b6b9241e965401b7_61_2" hidden="1">#REF!</definedName>
    <definedName name="TRNR_2e07fb3708fa426aa7d9d95f21b36a1a_5827_6" hidden="1">#REF!</definedName>
    <definedName name="TRNR_2e1f890cc7484b1a9ee510eb44fe6398_61_2" hidden="1">#REF!</definedName>
    <definedName name="TRNR_2e208bc4aa104b2d9f537f2127603998_61_2" hidden="1">#REF!</definedName>
    <definedName name="TRNR_2e2ccb7570424948bf37db8ee205a1a6_54_3" hidden="1">#REF!</definedName>
    <definedName name="TRNR_2e2f46e855ed4df58450c810c91ee847_61_2" hidden="1">#REF!</definedName>
    <definedName name="TRNR_2e477c0ed4734ca79e44230871e101f2_61_2" hidden="1">#REF!</definedName>
    <definedName name="TRNR_2e47c35014da488587dea4496810a872_50_2" hidden="1">#REF!</definedName>
    <definedName name="TRNR_2e5967e70ec043c2b69eeabf06359216_61_2" hidden="1">'[1]Gráfico 66'!#REF!</definedName>
    <definedName name="TRNR_2e63cbeb92bd462192a39bd93ec50266_61_2" hidden="1">#REF!</definedName>
    <definedName name="TRNR_2e6692fe570e41899b70062e27d79697_19_9" hidden="1">#REF!</definedName>
    <definedName name="TRNR_2e708a084465458aa5d32ea6212b1e67_61_2" hidden="1">#REF!</definedName>
    <definedName name="TRNR_2e7d423dcf2a493591def9d3ca17bb44_61_2" hidden="1">#REF!</definedName>
    <definedName name="TRNR_2e99c8fd9c88471eb309bb04e0fe9ffd_61_2" hidden="1">#REF!</definedName>
    <definedName name="TRNR_2ea0dc65ce044ca1a1f15aa076338f7c_5863_6" hidden="1">#REF!</definedName>
    <definedName name="TRNR_2ea498b4430a46fbbddee3b813db4fcb_61_2" hidden="1">#REF!</definedName>
    <definedName name="TRNR_2eb9d06930464c579fa4be8be00c1bd7_61_2" hidden="1">#REF!</definedName>
    <definedName name="TRNR_2ec2a77da3394a8aabc41794b42af93b_61_2" hidden="1">#REF!</definedName>
    <definedName name="TRNR_2ec77227cf8c4336be740a0dbffc4f58_61_2" hidden="1">#REF!</definedName>
    <definedName name="TRNR_2ee4f38d065f4e1196944a57610e4a6d_61_2" hidden="1">#REF!</definedName>
    <definedName name="TRNR_2eef00de37a147bd8bc99e4798f0359b_528_6" hidden="1">#REF!</definedName>
    <definedName name="TRNR_2f00e92fd9b14e40987c4d6e9ca39bbd_61_2" hidden="1">#REF!</definedName>
    <definedName name="TRNR_2f2980e737d547dd85eac614f7236ec1_61_2" hidden="1">#REF!</definedName>
    <definedName name="TRNR_2f331d47dd7443f0a5a8798f6cf5c10f_61_2" hidden="1">#REF!</definedName>
    <definedName name="TRNR_2f38b1c7e69f48d1a2032feea17e1672_61_2" hidden="1">#REF!</definedName>
    <definedName name="TRNR_2f4abef9d32748869bdf06792232eba5_280_26" hidden="1">#REF!</definedName>
    <definedName name="TRNR_2f4c967fbb10450084799df606daac7b_61_2" hidden="1">#REF!</definedName>
    <definedName name="TRNR_2f63b09ecbf141f9ba3eb75cbb9d11d3_314_16" hidden="1">#REF!</definedName>
    <definedName name="TRNR_2f7e711a16354d70a528b261e54eb63b_61_2" hidden="1">#REF!</definedName>
    <definedName name="TRNR_2fa36bc056794d54bf3fa3e464c5f92f_528_7" hidden="1">#REF!</definedName>
    <definedName name="TRNR_2fc78a7c21d14845b3be9096b4449658_5830_6" hidden="1">#REF!</definedName>
    <definedName name="TRNR_2fc791463d77467f8fc0fe2de10dc9e5_276_6" hidden="1">#REF!</definedName>
    <definedName name="TRNR_2fc86594a8e84465af2c2ef107813f80_20_4" hidden="1">#REF!</definedName>
    <definedName name="TRNR_2fd176642c244786929ddcab960c13ad_61_2" hidden="1">#REF!</definedName>
    <definedName name="TRNR_2fd2c95b02bb4ed08a1828838cd6f8fe_61_2" hidden="1">#REF!</definedName>
    <definedName name="TRNR_2fd71d3677a34b18ae2c57697fc1331c_108_3" hidden="1">#REF!</definedName>
    <definedName name="TRNR_2fe7cce44fd248c39cefdc8b4357f974_61_68" hidden="1">#REF!</definedName>
    <definedName name="TRNR_2fe7e8bcb0fa47e892d3d2abb9a773a4_61_2" hidden="1">#REF!</definedName>
    <definedName name="TRNR_2ff8b73449af47a292fce4fe19dcf8c0_61_2" hidden="1">#REF!</definedName>
    <definedName name="TRNR_2ff8ee76d5414880abf6a27afe2ba6a4_317_10" hidden="1">#REF!</definedName>
    <definedName name="TRNR_30043d5433a74401a751103c80f8038b_61_2" hidden="1">#REF!</definedName>
    <definedName name="TRNR_3008897a21a4479790a6b8a9f4ac6233_61_2" hidden="1">#REF!</definedName>
    <definedName name="TRNR_301e7db0069446b49212b806cec08f42_61_2" hidden="1">#REF!</definedName>
    <definedName name="TRNR_303a4911231c4105a70b08562aa362a5_61_2" hidden="1">#REF!</definedName>
    <definedName name="TRNR_303cb49de3ab40e6b2ae831147665867_61_2" hidden="1">#REF!</definedName>
    <definedName name="TRNR_304aa74ee5dc4cf9ab6388eede8e8533_61_2" hidden="1">#REF!</definedName>
    <definedName name="TRNR_306abb85d8e64a25a8b67ebb61ca42d1_61_2" hidden="1">#REF!</definedName>
    <definedName name="TRNR_306ebfdcbfd342be8b73405d7f8cf1b5_280_26" hidden="1">#REF!</definedName>
    <definedName name="TRNR_307aaf781ebe4753a881740fac7964da_61_2" hidden="1">#REF!</definedName>
    <definedName name="TRNR_307c8b434bbe4ddebe972523c363ff49_286_26" hidden="1">#REF!</definedName>
    <definedName name="TRNR_308251dc4b234081a9f062787af32909_61_2" hidden="1">#REF!</definedName>
    <definedName name="TRNR_3083001f936d4e2f81a329f8ec230818_61_2" hidden="1">#REF!</definedName>
    <definedName name="TRNR_309e1997a161408abb207d87ee655b8b_100_6" hidden="1">#REF!</definedName>
    <definedName name="TRNR_30a478d659ea457e8ae4ad4ea1b9421d_104_6" hidden="1">#REF!</definedName>
    <definedName name="TRNR_30b3641fe10f48b59bcf0dc835fed1aa_61_2" hidden="1">#REF!</definedName>
    <definedName name="TRNR_30c159c83ef34e42a8aad5da53e50a0b_61_2" hidden="1">#REF!</definedName>
    <definedName name="TRNR_30c3e289596e4c57abed1dc7fcebb823_61_2" hidden="1">#REF!</definedName>
    <definedName name="TRNR_30e2e28dc013486fb2483346289d75e4_282_12" hidden="1">#REF!</definedName>
    <definedName name="TRNR_30f0e310da2545d88084505749eb6556_9_6" hidden="1">#REF!</definedName>
    <definedName name="TRNR_30fe32e195f54ce394fa236190f4c6d9_100_6" hidden="1">#REF!</definedName>
    <definedName name="TRNR_310eb19b1110405dbf8540127a98c48d_977_6" hidden="1">#REF!</definedName>
    <definedName name="TRNR_3115e5707d9747e987b94e06918fb082_61_2" hidden="1">#REF!</definedName>
    <definedName name="TRNR_311c6cc24b3b4cf292ba247ca41544b6_6122_6" hidden="1">#REF!</definedName>
    <definedName name="TRNR_312cba9f8131460298690de3ade9044d_61_2" hidden="1">#REF!</definedName>
    <definedName name="TRNR_31378bfa14934cd791cb0940ba3f0498_50_2" hidden="1">#REF!</definedName>
    <definedName name="TRNR_314bff045eb64435aa8a9a7594e45ea9_61_2" hidden="1">#REF!</definedName>
    <definedName name="TRNR_3157433dd39540549136720f5d4232d0_52_50" hidden="1">#REF!</definedName>
    <definedName name="TRNR_31624340b9fb437b97d73da051b8fc38_61_2" hidden="1">#REF!</definedName>
    <definedName name="TRNR_316f60be30de4de98048b893ba41e910_61_2" hidden="1">#REF!</definedName>
    <definedName name="TRNR_317fd8572f404171a7a9c912f3296e23_61_2" hidden="1">#REF!</definedName>
    <definedName name="TRNR_3180a69557c44a15a5d64ef805253ede_6438_2" hidden="1">#REF!</definedName>
    <definedName name="TRNR_3183ef4193ca409abbd66e7b235b6a28_61_2" hidden="1">#REF!</definedName>
    <definedName name="TRNR_3190b286f403484b97e9bf0b927d5f0c_61_2" hidden="1">#REF!</definedName>
    <definedName name="TRNR_319284f81a084b699441dd247c1531de_528_7" hidden="1">#REF!</definedName>
    <definedName name="TRNR_3197881791794ebeacf36275f95c85ae_1015_27" hidden="1">#REF!</definedName>
    <definedName name="TRNR_31a29adf4d034e31a8d18ec88da604ff_25_6" hidden="1">#REF!</definedName>
    <definedName name="TRNR_31a89fadd71f48ddb8190d0ddf3c8922_61_2" hidden="1">#REF!</definedName>
    <definedName name="TRNR_31b5f5d7241f4835b32ed8f73c05d071_6268_1" hidden="1">#REF!</definedName>
    <definedName name="TRNR_31d81e70fa4e452bb277a102e19726be_50_1" hidden="1">#REF!</definedName>
    <definedName name="TRNR_31e52be342a94d03ba52d2719dafa191_61_2" hidden="1">#REF!</definedName>
    <definedName name="TRNR_31e73df0e0b74836acccee5ef216d562_61_2" hidden="1">#REF!</definedName>
    <definedName name="TRNR_31fd396bec434a11accc176b268998ea_61_2" hidden="1">#REF!</definedName>
    <definedName name="TRNR_320bb75b399b423abc2fe9f576f091f4_61_2" hidden="1">#REF!</definedName>
    <definedName name="TRNR_3231818cf4894b699aac1900ecc90a28_6177_6" hidden="1">#REF!</definedName>
    <definedName name="TRNR_323d770fdd2c488eb341758ae4c98848_61_2" hidden="1">#REF!</definedName>
    <definedName name="TRNR_324a227e801e4252bb2737233b210e0a_61_2" hidden="1">#REF!</definedName>
    <definedName name="TRNR_3252741ce9a74ea7aaced83e9571cfab_5809_4" hidden="1">#REF!</definedName>
    <definedName name="TRNR_3254f4aa318a47eda78a493b5bf4847f_5851_12" hidden="1">#REF!</definedName>
    <definedName name="TRNR_326f4c5a81e04d95a143db6056a77626_61_2" hidden="1">#REF!</definedName>
    <definedName name="TRNR_32735dc43e4d4137ada9330d2bbff7d7_61_2" hidden="1">#REF!</definedName>
    <definedName name="TRNR_3278e7fb26ec41da82621b3879f5fab9_61_2" hidden="1">'[1]Gráfico 66'!#REF!</definedName>
    <definedName name="TRNR_32906531b31d4dea996febfec2398e70_61_2" hidden="1">#REF!</definedName>
    <definedName name="TRNR_32944f403c664e18a01d3ba553968cb4_6307_2" hidden="1">#REF!</definedName>
    <definedName name="TRNR_3299cd1c314f4c85a6defd99c6e7c01c_6143_2" hidden="1">#REF!</definedName>
    <definedName name="TRNR_32a4cae8d9424167af00564d5d32696d_19_9" hidden="1">#REF!</definedName>
    <definedName name="TRNR_32a65b6a4fd44fb6af754edc6be776ed_61_2" hidden="1">#REF!</definedName>
    <definedName name="TRNR_32a6899523e545fc917feff4456728b8_61_2" hidden="1">#REF!</definedName>
    <definedName name="TRNR_32abea3cc1ac414a9a739073f4fd7996_61_2" hidden="1">#REF!</definedName>
    <definedName name="TRNR_32b157d6a9644d8c9cad9d1480703be5_61_2" hidden="1">#REF!</definedName>
    <definedName name="TRNR_32c9f0a0b90b40309bb55446a8d5ff6f_61_2" hidden="1">#REF!</definedName>
    <definedName name="TRNR_32de784dbfae41a58706b39a74783964_30_24" hidden="1">#REF!</definedName>
    <definedName name="TRNR_32ede5cf430c4278a4d04c8dfae4b22f_51_1" hidden="1">#REF!</definedName>
    <definedName name="TRNR_32f7da68fa2f4dd29644cddb8a3f4455_73_11" hidden="1">#REF!</definedName>
    <definedName name="TRNR_32fb3cb9fd7843c3b9c26cc25b6c02e3_47_10" hidden="1">#REF!</definedName>
    <definedName name="TRNR_330071819e32434e89cdf78f37e205c0_1012_27" hidden="1">#REF!</definedName>
    <definedName name="TRNR_331c3538e30d43cdaaafbd31d0baa71a_1073_27" hidden="1">#REF!</definedName>
    <definedName name="TRNR_332c91cf959a4a2b9bb46df7481fdb4f_61_2" hidden="1">#REF!</definedName>
    <definedName name="TRNR_332fe1138e584daf9f33909a09a31426_61_2" hidden="1">#REF!</definedName>
    <definedName name="TRNR_333ccf0a103b4a3d915927eb25220383_975_2" hidden="1">#REF!</definedName>
    <definedName name="TRNR_3347bab64186490c818d76055f6d22cf_61_2" hidden="1">#REF!</definedName>
    <definedName name="TRNR_3355177168f244f4997feaed84fe572e_61_2" hidden="1">#REF!</definedName>
    <definedName name="TRNR_3364c94b4c94476dba2636da69e2473e_311_10" hidden="1">#REF!</definedName>
    <definedName name="TRNR_3367a426f8554107b479e2d8e233b954_61_2" hidden="1">'[1]Gráfico 66'!#REF!</definedName>
    <definedName name="TRNR_337e8af753f34b7ca76ac4cc76086049_61_2" hidden="1">#REF!</definedName>
    <definedName name="TRNR_33871345609441b2b1189fe5f1094c21_62_36" hidden="1">#REF!</definedName>
    <definedName name="TRNR_338dbc72009548c4bb640eab5288ddba_61_2" hidden="1">#REF!</definedName>
    <definedName name="TRNR_33a4041715dc45d6b32a1870b312faaf_61_2" hidden="1">#REF!</definedName>
    <definedName name="TRNR_33ca56eaa6ce405f9b95a9e2a75f2984_25_6" hidden="1">#REF!</definedName>
    <definedName name="TRNR_33cedda1c9224193985f79cc5e183ce9_977_3" hidden="1">#REF!</definedName>
    <definedName name="TRNR_33f7e0743ff648b08b23337ce0c101e1_101_6" hidden="1">#REF!</definedName>
    <definedName name="TRNR_3401c29a4e644287bee43b5bacdda431_61_2" hidden="1">#REF!</definedName>
    <definedName name="TRNR_3408787ed5594bcba0385278cff140c8_1084_27" hidden="1">#REF!</definedName>
    <definedName name="TRNR_341dbf881c5a438680eb36b9c2a5a01b_61_2" hidden="1">#REF!</definedName>
    <definedName name="TRNR_3433825c41934349bc1945c99975dd6a_60_14" hidden="1">#REF!</definedName>
    <definedName name="TRNR_34360b2cfd7a4b2ea690b241db6bc041_6039_6" hidden="1">#REF!</definedName>
    <definedName name="TRNR_343815777be9463b9d7c8347f34a9473_61_2" hidden="1">#REF!</definedName>
    <definedName name="TRNR_343a9a2e82774e8db9d273c88d5b466e_36_9" hidden="1">#REF!</definedName>
    <definedName name="TRNR_3450d3bb5e194e01b1479b293c98f818_1055_27" hidden="1">#REF!</definedName>
    <definedName name="TRNR_3452fe9ac2114d4ba4d6b88b6cac2b5a_61_2" hidden="1">#REF!</definedName>
    <definedName name="TRNR_3454bcc3525442b295d25ee1f10dd63f_53_3" hidden="1">#REF!</definedName>
    <definedName name="TRNR_345691b6bf3645b1b1058e7c87bf5db4_61_2" hidden="1">#REF!</definedName>
    <definedName name="TRNR_34569e52271e4b48bcb41df4a36b60ee_61_2" hidden="1">#REF!</definedName>
    <definedName name="TRNR_3458897970dc4c588aa49102b47a2373_61_2" hidden="1">#REF!</definedName>
    <definedName name="TRNR_34592215d7d0404ba87a8561ceb906d4_318_1" hidden="1">'[1]Gráfico 65'!#REF!</definedName>
    <definedName name="TRNR_3468726efd794d5aa2e6b9b716c7db8b_100_6" hidden="1">#REF!</definedName>
    <definedName name="TRNR_346c291aa0da4037961b6605c435e41c_61_2" hidden="1">'[1]Gráfico 66'!#REF!</definedName>
    <definedName name="TRNR_347acfaa2288453696d9584e56cde123_61_2" hidden="1">#REF!</definedName>
    <definedName name="TRNR_347bbd9f0f1441e6a2a7afa9926299d6_580_3" hidden="1">#REF!</definedName>
    <definedName name="TRNR_348f22e0e62d437e87ec9139128ff9f2_276_6" hidden="1">#REF!</definedName>
    <definedName name="TRNR_3494eabfb1964effb9aa77421fa3f425_61_2" hidden="1">#REF!</definedName>
    <definedName name="TRNR_349909b2b9714aeaa210dc5b28dacbaa_61_2" hidden="1">#REF!</definedName>
    <definedName name="TRNR_34a174b242374a499c279b8aeb2ea79b_61_2" hidden="1">#REF!</definedName>
    <definedName name="TRNR_34ac46bfaa454f88a1fd1a5c1c8fc7a1_1172_27" hidden="1">#REF!</definedName>
    <definedName name="TRNR_34adf73280d84a778a19fc1c4a086c09_61_2" hidden="1">#REF!</definedName>
    <definedName name="TRNR_34b49c6b4d6340048bea6fc5df647c7c_61_2" hidden="1">#REF!</definedName>
    <definedName name="TRNR_34c8d3b6878e4a71b83f268d1023a7e0_61_2" hidden="1">#REF!</definedName>
    <definedName name="TRNR_34cdd8dd3c0f48e48f9ccaa1feef9b71_61_2" hidden="1">#REF!</definedName>
    <definedName name="TRNR_34cdeea876eb48d9b534f6ae81ea17b6_61_2" hidden="1">#REF!</definedName>
    <definedName name="TRNR_34d97456cc5040d0b8038bf197651b7b_61_2" hidden="1">#REF!</definedName>
    <definedName name="TRNR_34f5f59fc07146f690c258971ace429d_6267_2" hidden="1">#REF!</definedName>
    <definedName name="TRNR_350513765d26427db4af428ec6cb0b99_61_2" hidden="1">#REF!</definedName>
    <definedName name="TRNR_3506a059e3464a45b6d93875ce543183_293_3" hidden="1">#REF!</definedName>
    <definedName name="TRNR_350b2e0190eb4051b28b75d4cf226d4e_61_2" hidden="1">#REF!</definedName>
    <definedName name="TRNR_351cec253c3a443dbc664fa63e9fc03c_61_2" hidden="1">#REF!</definedName>
    <definedName name="TRNR_3523b701327345668169bbbb417d5ea3_61_2" hidden="1">#REF!</definedName>
    <definedName name="TRNR_352479991c7945568150144518bac5ef_6179_4" hidden="1">#REF!</definedName>
    <definedName name="TRNR_352c8d443ae44e6196d0ae3090b9fda1_61_2" hidden="1">#REF!</definedName>
    <definedName name="TRNR_352edbf006884f8ebd52c2dd7667a012_61_2" hidden="1">'[1]Gráfico 66'!#REF!</definedName>
    <definedName name="TRNR_354cc7ce645b4f27b8cdd193fb07e08d_61_2" hidden="1">#REF!</definedName>
    <definedName name="TRNR_3556ee50e2384bd7a8a50b042df1d646_6045_3" hidden="1">#REF!</definedName>
    <definedName name="TRNR_35597781e5eb4f9a9da47208f1262005_61_2" hidden="1">'[1]Gráfico 66'!#REF!</definedName>
    <definedName name="TRNR_3560f3cffd514e0e9e06fe268761e587_5810_6" hidden="1">#REF!</definedName>
    <definedName name="TRNR_3562a47b46614a95a999506538135071_61_2" hidden="1">#REF!</definedName>
    <definedName name="TRNR_35630ace22594066b262c3a6a7c39fb2_61_2" hidden="1">#REF!</definedName>
    <definedName name="TRNR_358cfaba2b08431392c6755e7f45be95_50_1" hidden="1">#REF!</definedName>
    <definedName name="TRNR_358e9c9f96fe45369910b67d12c308e0_61_2" hidden="1">#REF!</definedName>
    <definedName name="TRNR_359bba0b9d0a417da470625ca1c97f29_61_2" hidden="1">#REF!</definedName>
    <definedName name="TRNR_35a6fc4cd6a442609cdd799ad70ed253_5826_12" hidden="1">#REF!</definedName>
    <definedName name="TRNR_35a92e2a1a914d5487aef113effb5d12_50_1" hidden="1">#REF!</definedName>
    <definedName name="TRNR_35af658fa9c0436bbceed72da86b2d87_61_2" hidden="1">#REF!</definedName>
    <definedName name="TRNR_35badd3899924f07831814669e13ec18_90_9" hidden="1">#REF!</definedName>
    <definedName name="TRNR_35bcfb2dcafe4bdcb8a23b4452845cca_61_2" hidden="1">#REF!</definedName>
    <definedName name="TRNR_35c0a0903bc14507991a5b5250e8e81c_528_7" hidden="1">#REF!</definedName>
    <definedName name="TRNR_35c42dedd8d340d79e737a4ef3451375_61_2" hidden="1">#REF!</definedName>
    <definedName name="TRNR_35c45d41ecf64bb3beccf1eaabf5fb6e_61_2" hidden="1">#REF!</definedName>
    <definedName name="TRNR_35cd2e298ba24728b0ebc4b03f22c047_61_2" hidden="1">#REF!</definedName>
    <definedName name="TRNR_35db44f61dbd49f0932aec60bdcd4c50_61_2" hidden="1">#REF!</definedName>
    <definedName name="TRNR_35e06a5b473344bc840dff756f870273_524_1" hidden="1">#REF!</definedName>
    <definedName name="TRNR_35e701decf304054a73f3b2636e2e038_61_2" hidden="1">#REF!</definedName>
    <definedName name="TRNR_35eea96e155241cf8efc40c2de633388_528_7" hidden="1">#REF!</definedName>
    <definedName name="TRNR_36039fe8f4074352aaa487a74cf1a759_61_2" hidden="1">#REF!</definedName>
    <definedName name="TRNR_3610a690ac9647ff937159323026f162_61_2" hidden="1">#REF!</definedName>
    <definedName name="TRNR_36231b679ec1468cbd0a3feef065d6af_528_2" hidden="1">#REF!</definedName>
    <definedName name="TRNR_36294819f046493aae3ab69eafbf7224_61_2" hidden="1">#REF!</definedName>
    <definedName name="TRNR_36333577248f46e3874db9570c6f5d9d_61_2" hidden="1">'[1]Gráfico 66'!#REF!</definedName>
    <definedName name="TRNR_3640a8db81d644cea4e1a60662c3e88b_61_2" hidden="1">#REF!</definedName>
    <definedName name="TRNR_36425770818d4216970de79051d748e2_61_2" hidden="1">#REF!</definedName>
    <definedName name="TRNR_3648041fd5584ae9a818129508b90f46_52_37" hidden="1">#REF!</definedName>
    <definedName name="TRNR_3652cfd147fa4b78be36d239bc645c91_2114_6" hidden="1">#REF!</definedName>
    <definedName name="TRNR_366c1b80be3642a9aead13b577b2e988_1076_27" hidden="1">#REF!</definedName>
    <definedName name="TRNR_36a4061673ec4bf0a4c922c5d0449b0d_61_2" hidden="1">#REF!</definedName>
    <definedName name="TRNR_36a5043085cd489fbf1a45df925389e2_277_6" hidden="1">#REF!</definedName>
    <definedName name="TRNR_36c8def30a1d4bc4a33e9ad69c8d1ab4_61_2" hidden="1">#REF!</definedName>
    <definedName name="TRNR_36c96ff5ccfc40d8b5d4db707ce44ebe_61_2" hidden="1">#REF!</definedName>
    <definedName name="TRNR_36ce72ae75cd4cc896a9b638b304971f_61_2" hidden="1">#REF!</definedName>
    <definedName name="TRNR_36d58d4f50874d41b7a2af4e73712f9d_61_2" hidden="1">#REF!</definedName>
    <definedName name="TRNR_36dd8f3348074702b5f5db099ede575b_61_2" hidden="1">#REF!</definedName>
    <definedName name="TRNR_36dfa28f8e864cd1a9bb12206f5d421f_61_2" hidden="1">#REF!</definedName>
    <definedName name="TRNR_36ee5724111547bd8dbaed82f94b132f_527_6" hidden="1">#REF!</definedName>
    <definedName name="TRNR_3702758f564043f4a9fc3dff8b1aba2f_61_2" hidden="1">#REF!</definedName>
    <definedName name="TRNR_371262af9db542c8b5ced8fcf5d3376d_150_6" hidden="1">#REF!</definedName>
    <definedName name="TRNR_37317ebea1e943c381d597aa35cdef75_53_3" hidden="1">#REF!</definedName>
    <definedName name="TRNR_37504e637571479896890abc293e20bf_61_2" hidden="1">#REF!</definedName>
    <definedName name="TRNR_3757122abbd747419fe3de6e1d4a1ed7_48_6" hidden="1">#REF!</definedName>
    <definedName name="TRNR_3757caad42684edc80c1089f7ff1bc29_61_2" hidden="1">#REF!</definedName>
    <definedName name="TRNR_375acfc79e114c2781003c2ae013c92b_99_6" hidden="1">#REF!</definedName>
    <definedName name="TRNR_375b62cbc55e4ac9b707e2795fc14974_61_2" hidden="1">#REF!</definedName>
    <definedName name="TRNR_375fb637f1434a57bbf9cb086faa3d82_1014_27" hidden="1">#REF!</definedName>
    <definedName name="TRNR_376a1eee2bdd4236bb63e83c335bd80e_25_3" hidden="1">#REF!</definedName>
    <definedName name="TRNR_37709b7d1f3443f7afb4cee83914f8aa_61_2" hidden="1">#REF!</definedName>
    <definedName name="TRNR_3786a58aea0a41a884960aebb2e4df5a_61_2" hidden="1">'[1]Gráfico 66'!#REF!</definedName>
    <definedName name="TRNR_379b2c3bc6214c728b6447fe3b03d57a_61_2" hidden="1">#REF!</definedName>
    <definedName name="TRNR_37b72bf62a5b454b951ec845990a31b3_44_2" hidden="1">#REF!</definedName>
    <definedName name="TRNR_37c12510051240a98563152b787c63d8_61_2" hidden="1">#REF!</definedName>
    <definedName name="TRNR_37c84ff5b5b24c389fadea47397c730a_2111_6" hidden="1">#REF!</definedName>
    <definedName name="TRNR_37ce32e53dd4422eb1818018336db475_61_2" hidden="1">#REF!</definedName>
    <definedName name="TRNR_37cfde9bbb324decb36293254557330b_61_2" hidden="1">#REF!</definedName>
    <definedName name="TRNR_37fb177366c144c880e429b358babb97_61_2" hidden="1">#REF!</definedName>
    <definedName name="TRNR_3807f87afd2b4447bafa62c3370e5833_61_2" hidden="1">#REF!</definedName>
    <definedName name="TRNR_380c488cf7d04bbf942803f31a00e18f_61_2" hidden="1">#REF!</definedName>
    <definedName name="TRNR_382e399e261b4d439e538a951d710add_61_2" hidden="1">#REF!</definedName>
    <definedName name="TRNR_383347eb441b48b48663034f558fabf5_61_2" hidden="1">#REF!</definedName>
    <definedName name="TRNR_384fe43c1d4945faa6ae3f8d20faaa37_61_2" hidden="1">#REF!</definedName>
    <definedName name="TRNR_385e48ef814f40c5b3bd0609f0748e44_6182_2" hidden="1">#REF!</definedName>
    <definedName name="TRNR_3876cfc5b0c64d5bb71eec747eb82b17_61_2" hidden="1">#REF!</definedName>
    <definedName name="TRNR_387898d71cbd4d9cad95e8e5daa902b7_61_2" hidden="1">#REF!</definedName>
    <definedName name="TRNR_38b9c2a7e364435080bb8a25205a6c01_61_2" hidden="1">#REF!</definedName>
    <definedName name="TRNR_38ba76066e16442289060b471062c7d2_527_6" hidden="1">#REF!</definedName>
    <definedName name="TRNR_38cd4e6341064728a0df2a2a48a032b9_52_6" hidden="1">#REF!</definedName>
    <definedName name="TRNR_38d76d023c7b47e6ab1ef2d0e9bee64f_50_2" hidden="1">#REF!</definedName>
    <definedName name="TRNR_38d9cdf1e35b49f9ad7a5d300a6ad1cd_527_7" hidden="1">#REF!</definedName>
    <definedName name="TRNR_38e24b2469eb4c30b05ec4f35d5ea02b_61_2" hidden="1">#REF!</definedName>
    <definedName name="TRNR_390d810e10d243ce8adb47f56e53c200_61_11" hidden="1">#REF!</definedName>
    <definedName name="TRNR_390dc46e184f4edf810e43cb6e4c8763_528_7" hidden="1">#REF!</definedName>
    <definedName name="TRNR_3911de4dca18439e9ce89a7dc8423fc8_61_2" hidden="1">#REF!</definedName>
    <definedName name="TRNR_39175fd75c254f6d90fe0e768784db88_20_4" hidden="1">#REF!</definedName>
    <definedName name="TRNR_391d0a6493934b79a5835093430cc37c_5852_6" hidden="1">#REF!</definedName>
    <definedName name="TRNR_392df5ed42d746c39ddb877905fc8241_61_2" hidden="1">#REF!</definedName>
    <definedName name="TRNR_392fb436de544ea1b697b0c30f51699a_528_7" hidden="1">#REF!</definedName>
    <definedName name="TRNR_394bc49b33ab4cbbb351b450af7f2c1a_61_2" hidden="1">#REF!</definedName>
    <definedName name="TRNR_3956b9c695f5414782f1d105427d6343_14_37" hidden="1">#REF!</definedName>
    <definedName name="TRNR_3975f6ab4ac5450886f53d384106da92_61_2" hidden="1">#REF!</definedName>
    <definedName name="TRNR_398213623c2e41f9ad6bedd0455b987a_61_2" hidden="1">#REF!</definedName>
    <definedName name="TRNR_3985c2f0497840009e687d0b5e1565cc_61_2" hidden="1">#REF!</definedName>
    <definedName name="TRNR_39861263db5747ab8bb8e96794e38dd8_61_2" hidden="1">#REF!</definedName>
    <definedName name="TRNR_3987aba6b4044cccb85b34b2353ba187_61_2" hidden="1">#REF!</definedName>
    <definedName name="TRNR_398a4247e66a46709363711fa614581f_61_2" hidden="1">#REF!</definedName>
    <definedName name="TRNR_3999ea7d40f448d2a6db7dab5e7be28d_61_2" hidden="1">#REF!</definedName>
    <definedName name="TRNR_39a2bb8a08004578a488e3549d2f1602_61_2" hidden="1">#REF!</definedName>
    <definedName name="TRNR_39aadf2729d5407cae9743301f378c69_527_7" hidden="1">#REF!</definedName>
    <definedName name="TRNR_39cde9ccacef4b8eb493fde8e11cfa35_61_2" hidden="1">#REF!</definedName>
    <definedName name="TRNR_39cdf57027e241ab8fbad916f17d5ff4_528_6" hidden="1">#REF!</definedName>
    <definedName name="TRNR_39d7f648d44443d1a11de5e78e5bfd55_51_3" hidden="1">#REF!</definedName>
    <definedName name="TRNR_39da85663a544530991b8beeeabfaa97_61_2" hidden="1">#REF!</definedName>
    <definedName name="TRNR_39db68be6844462097677016f4307104_61_2" hidden="1">'[1]Gráfico 66'!#REF!</definedName>
    <definedName name="TRNR_39de6c1f8fe8423293e47a60d1e282c5_5865_12" hidden="1">#REF!</definedName>
    <definedName name="TRNR_39e21c430cf341ebb3b0f36e480567cc_55_3" hidden="1">#REF!</definedName>
    <definedName name="TRNR_39e85fc8fcea4dc9bca81f3a0d1841fd_528_7" hidden="1">#REF!</definedName>
    <definedName name="TRNR_39e8bd759b34458eb2c9fab43b955609_47_6" hidden="1">#REF!</definedName>
    <definedName name="TRNR_39f0e4ae87c64ba69d90a7a5e1940900_61_2" hidden="1">#REF!</definedName>
    <definedName name="TRNR_39fe8d88088640a589e8931204316fba_61_11" hidden="1">#REF!</definedName>
    <definedName name="TRNR_3a0474a9cf4f458881828d5ec7018d86_61_2" hidden="1">#REF!</definedName>
    <definedName name="TRNR_3a05853339b94a78ae772b6a895e818e_102_3" hidden="1">#REF!</definedName>
    <definedName name="TRNR_3a0aba11a08f46c697db241672881e0c_61_2" hidden="1">#REF!</definedName>
    <definedName name="TRNR_3a1734b7ad0d4f3d99ea965ea091c876_50_1" hidden="1">#REF!</definedName>
    <definedName name="TRNR_3a22174b861643ee99c36aa1a77c7145_61_2" hidden="1">#REF!</definedName>
    <definedName name="TRNR_3a335136ffe2404ca2a9c073d6e0cba3_61_2" hidden="1">#REF!</definedName>
    <definedName name="TRNR_3a33bd941f9046f18da23decf18c3fc1_522_1" hidden="1">#REF!</definedName>
    <definedName name="TRNR_3a3ca4b6333146eb8b2a7b10670ad9fe_61_2" hidden="1">#REF!</definedName>
    <definedName name="TRNR_3a78d0ece1c9434786db973baa1791b3_237_4" hidden="1">'[1]Gráfico 66'!#REF!</definedName>
    <definedName name="TRNR_3a8935e5216e49aaad35ea65f1cacd3b_59_3" hidden="1">#REF!</definedName>
    <definedName name="TRNR_3aa778670da14830b77a0b96bb67f381_20_5" hidden="1">#REF!</definedName>
    <definedName name="TRNR_3ab1e7a9807c4b2b89e282323976b7fe_61_2" hidden="1">#REF!</definedName>
    <definedName name="TRNR_3abc007f06874dffa076665dbc4ec986_61_2" hidden="1">#REF!</definedName>
    <definedName name="TRNR_3ad18ab157784a689925515863b376b1_265_15" hidden="1">#REF!</definedName>
    <definedName name="TRNR_3ad661d1458d4a0383b4695a933a77c2_6009_6" hidden="1">#REF!</definedName>
    <definedName name="TRNR_3ae902da9b1647b7a91e8e54233617e7_61_2" hidden="1">#REF!</definedName>
    <definedName name="TRNR_3af36be53e9f4bec8de35ae33cb96b93_61_2" hidden="1">#REF!</definedName>
    <definedName name="TRNR_3af9b2158d564ee9b42e5395cd15c11a_62_11" hidden="1">#REF!</definedName>
    <definedName name="TRNR_3afe4b09906c4282af87ed7b682437fb_61_2" hidden="1">#REF!</definedName>
    <definedName name="TRNR_3afff0af039d46c6a78a596dae7e48a3_61_2" hidden="1">#REF!</definedName>
    <definedName name="TRNR_3b02cf897180491c8dfede14169d0cdf_61_2" hidden="1">#REF!</definedName>
    <definedName name="TRNR_3b123f44524349af95127280b71ed3fa_61_2" hidden="1">#REF!</definedName>
    <definedName name="TRNR_3b14419dedd144728f623dd0ec08c8dc_90_9" hidden="1">#REF!</definedName>
    <definedName name="TRNR_3b33644c82274c6a918f3dd09355a43c_61_2" hidden="1">#REF!</definedName>
    <definedName name="TRNR_3b3b7a67d12e46869c258ec77ef50498_138_2" hidden="1">#REF!</definedName>
    <definedName name="TRNR_3b42131b720e4324be958d75ff819e50_61_11" hidden="1">#REF!</definedName>
    <definedName name="TRNR_3b45486aa6444f8182dc0ea9b54a02c0_100_6" hidden="1">#REF!</definedName>
    <definedName name="TRNR_3b50ac2e93f341f69bdabe4f1e48cc58_61_2" hidden="1">#REF!</definedName>
    <definedName name="TRNR_3b58782da203406ab1875d5f0b58bbca_61_2" hidden="1">#REF!</definedName>
    <definedName name="TRNR_3b65666048a54155bb61114ac6aaf00b_61_2" hidden="1">#REF!</definedName>
    <definedName name="TRNR_3b85bca9c4fd4571b755ba0d951febf7_74_11" hidden="1">#REF!</definedName>
    <definedName name="TRNR_3b8ba4a988e54b14918b472c152a8721_61_2" hidden="1">#REF!</definedName>
    <definedName name="TRNR_3bad9b66f4ac461fa92ffcbebf7ed001_61_2" hidden="1">#REF!</definedName>
    <definedName name="TRNR_3bb537bdb40242ecbe85a906d68dbeef_61_2" hidden="1">#REF!</definedName>
    <definedName name="TRNR_3bc52a23081e44ecbfe07eef53ab49ab_61_2" hidden="1">#REF!</definedName>
    <definedName name="TRNR_3be25a51f95f4b058f29cb7dc48d3549_285_13" hidden="1">#REF!</definedName>
    <definedName name="TRNR_3be8e3bbf9024f91be07522706ea359c_61_2" hidden="1">'[1]Gráfico 66'!#REF!</definedName>
    <definedName name="TRNR_3be927d9a5d44e609f5fbda11a3926a1_61_2" hidden="1">#REF!</definedName>
    <definedName name="TRNR_3bf7deeed0114c6d90e3a002d9c5b763_20_4" hidden="1">#REF!</definedName>
    <definedName name="TRNR_3c35db1fe01c4b3c896a4b17b989b7d8_5848_12" hidden="1">#REF!</definedName>
    <definedName name="TRNR_3c383ad7173442609f125452e2ca8363_528_7" hidden="1">#REF!</definedName>
    <definedName name="TRNR_3c4545233c734e678ac44542b80ab606_528_6" hidden="1">#REF!</definedName>
    <definedName name="TRNR_3c501b4f46104c5c85fd67796579b717_61_2" hidden="1">#REF!</definedName>
    <definedName name="TRNR_3c5dd58ca1a04f839be67941d49dc4ea_61_2" hidden="1">#REF!</definedName>
    <definedName name="TRNR_3c5f1efa03db422297258dcf1149ef40_61_2" hidden="1">#REF!</definedName>
    <definedName name="TRNR_3c70bd715b7647499ffe7539e3af435c_524_10" hidden="1">#REF!</definedName>
    <definedName name="TRNR_3cb5d4f8217748ca95c06b207a7d808c_61_2" hidden="1">#REF!</definedName>
    <definedName name="TRNR_3cd0fbd4a3bb4f9faab28bd2d7dec739_61_2" hidden="1">#REF!</definedName>
    <definedName name="TRNR_3ce2afbd5f1a428b93d731f82d45e3d9_6116_6" hidden="1">#REF!</definedName>
    <definedName name="TRNR_3ce906e814c74aa7b766346bce94d135_61_2" hidden="1">#REF!</definedName>
    <definedName name="TRNR_3cf513a785bc476a94e94a0ee73c9d6b_61_2" hidden="1">#REF!</definedName>
    <definedName name="TRNR_3d06b295a1924c7ea50d3245f52d399d_61_2" hidden="1">#REF!</definedName>
    <definedName name="TRNR_3d1d56f115b443b792b34c6b888fb370_61_3" hidden="1">#REF!</definedName>
    <definedName name="TRNR_3d25038243f448aca28c0e78823d44e2_1520_6" hidden="1">#REF!</definedName>
    <definedName name="TRNR_3d2a18c9feed489ca78ebee179d707e9_61_2" hidden="1">'[1]Gráfico 66'!#REF!</definedName>
    <definedName name="TRNR_3d4c9119225948b9b4251ebb959e841c_60_3" hidden="1">#REF!</definedName>
    <definedName name="TRNR_3d65e8cf52a240f8949a5a1a10090982_61_2" hidden="1">#REF!</definedName>
    <definedName name="TRNR_3d6645a64e4a483bada5c994778bec15_67_3" hidden="1">#REF!</definedName>
    <definedName name="TRNR_3d6b0eb3d1bc4cadbd4b1d202e4611b8_61_2" hidden="1">'[1]Gráfico 66'!#REF!</definedName>
    <definedName name="TRNR_3d78e61508f144c180c9a8946ff1c040_61_2" hidden="1">#REF!</definedName>
    <definedName name="TRNR_3d819c28cf994993a8554e6b5617e2d1_54_3" hidden="1">#REF!</definedName>
    <definedName name="TRNR_3d9376c3c9104fe59872d602cf27c361_61_2" hidden="1">#REF!</definedName>
    <definedName name="TRNR_3d976e957a3b4259a49c41c26a4c8a92_54_3" hidden="1">#REF!</definedName>
    <definedName name="TRNR_3dae1885c1724f8b987032a1e5f19f4d_61_2" hidden="1">#REF!</definedName>
    <definedName name="TRNR_3dbadf1ed1e44ed2a706593d1f11a24d_6267_6" hidden="1">#REF!</definedName>
    <definedName name="TRNR_3dbae3dc13764423a331c505c7aa52d1_61_2" hidden="1">#REF!</definedName>
    <definedName name="TRNR_3de4a6b87a874f37ae8d496acf5b9665_61_2" hidden="1">#REF!</definedName>
    <definedName name="TRNR_3de99bfc33a3461290f31b708390c174_61_2" hidden="1">#REF!</definedName>
    <definedName name="TRNR_3df62764d90c4c52b083d460ad851d98_527_6" hidden="1">#REF!</definedName>
    <definedName name="TRNR_3e01c603799f45b6a56c2d1d229b26df_61_2" hidden="1">#REF!</definedName>
    <definedName name="TRNR_3e1237e104ea41f687a15a2d48806f55_528_6" hidden="1">#REF!</definedName>
    <definedName name="TRNR_3e394f20a25c43978585f9fe8bd45823_61_2" hidden="1">#REF!</definedName>
    <definedName name="TRNR_3e4f0e55c93d44dbad044832a4f42f19_61_2" hidden="1">#REF!</definedName>
    <definedName name="TRNR_3e5d4a16632d4ff4aeb3ff255313a99d_3726_2" hidden="1">#REF!</definedName>
    <definedName name="TRNR_3e684043331545969f551ea063f460f7_61_2" hidden="1">#REF!</definedName>
    <definedName name="TRNR_3e6a173b11a64d8ebe4e01ce2cbc4294_61_2" hidden="1">#REF!</definedName>
    <definedName name="TRNR_3e6cddc83ec6493fbcca90b463823a54_61_2" hidden="1">#REF!</definedName>
    <definedName name="TRNR_3e6fff547e6a4dc78cd53a661274bf6d_61_2" hidden="1">#REF!</definedName>
    <definedName name="TRNR_3e753fea95244ddda491e6598a00b9e3_5807_12" hidden="1">#REF!</definedName>
    <definedName name="TRNR_3e86de176cfa4dc8b76bd3edc790b0ad_100_6" hidden="1">#REF!</definedName>
    <definedName name="TRNR_3e86fb5d53a84ea8a5e7be7f24f2f341_528_6" hidden="1">#REF!</definedName>
    <definedName name="TRNR_3e8b3f43220045b1bbd05c434c9a4811_61_2" hidden="1">'[1]Gráfico 66'!#REF!</definedName>
    <definedName name="TRNR_3e98da820aa141d0b53992e5ac5304bb_528_6" hidden="1">#REF!</definedName>
    <definedName name="TRNR_3ea6bcad50d74275bba73bf6e4196616_61_2" hidden="1">#REF!</definedName>
    <definedName name="TRNR_3eb28ae15e6a4a329d63f841e69c5e90_108_4" hidden="1">#REF!</definedName>
    <definedName name="TRNR_3eb505eabb2c4a98b090d088bc229c2e_108_4" hidden="1">#REF!</definedName>
    <definedName name="TRNR_3ebaef783d9d4602bbd011ef4bf54bbb_20_4" hidden="1">#REF!</definedName>
    <definedName name="TRNR_3ed3b376b5ce4bb9ab54c2483bc0959f_61_2" hidden="1">#REF!</definedName>
    <definedName name="TRNR_3ef25b420f6a44139f3bc545aaaf48f9_61_2" hidden="1">#REF!</definedName>
    <definedName name="TRNR_3efef9e9ec084f8fa7d65a378e18fb37_1306_1" hidden="1">#REF!</definedName>
    <definedName name="TRNR_3f078952ae4040c8bf0af25f52047a9f_5757_12" hidden="1">#REF!</definedName>
    <definedName name="TRNR_3f1b06dee0124f039ea3b9567641baea_61_2" hidden="1">#REF!</definedName>
    <definedName name="TRNR_3f27a8fa1d5543b282dc47efbbea8ade_61_2" hidden="1">#REF!</definedName>
    <definedName name="TRNR_3f44178c409741c2956feb13cf38cd8f_61_2" hidden="1">'[1]Gráfico 66'!#REF!</definedName>
    <definedName name="TRNR_3f46a38b5f91432192fdcdb49d998b2b_61_2" hidden="1">#REF!</definedName>
    <definedName name="TRNR_3f4fef4957a8460d907435f177c25c31_61_2" hidden="1">#REF!</definedName>
    <definedName name="TRNR_3f68786cd9564ed68b24ec47bb0ec153_2126_6" hidden="1">#REF!</definedName>
    <definedName name="TRNR_3f6adac58e894f25a4d4ab47f3e6d428_50_1" hidden="1">#REF!</definedName>
    <definedName name="TRNR_3f6b6dacb90449a0b3bfc6c4e2819ed8_61_2" hidden="1">#REF!</definedName>
    <definedName name="TRNR_3f6be0b67ab041dab5a5db71d40ee973_279_6" hidden="1">#REF!</definedName>
    <definedName name="TRNR_3f6de235bca34c5d822a643314013e94_20_4" hidden="1">#REF!</definedName>
    <definedName name="TRNR_3f86720f1f614a2f974ca0d0a14ff12c_61_2" hidden="1">#REF!</definedName>
    <definedName name="TRNR_3f964531507f45caa1e48990e139c97e_61_2" hidden="1">#REF!</definedName>
    <definedName name="TRNR_3f9c2bf8e5ac4054a38daf4129707a6f_61_2" hidden="1">#REF!</definedName>
    <definedName name="TRNR_3f9dd61a936c456f9a9f21f5fc30ff53_108_6" hidden="1">#REF!</definedName>
    <definedName name="TRNR_3fad896aebe844d4aaff3b625ec1f279_528_7" hidden="1">#REF!</definedName>
    <definedName name="TRNR_3fb0dc4996d84c0396b3f17ec0341c1c_61_2" hidden="1">#REF!</definedName>
    <definedName name="TRNR_3fd98138ccec4c4289633956d9422f8c_20_4" hidden="1">#REF!</definedName>
    <definedName name="TRNR_3ff9f5f1ee4c4fec953e26391b23162a_61_2" hidden="1">#REF!</definedName>
    <definedName name="TRNR_403a4a64ff514c7189eaa2da733b97c2_61_2" hidden="1">#REF!</definedName>
    <definedName name="TRNR_403e5eac176c4cf9b20cd283b4d5663c_61_2" hidden="1">#REF!</definedName>
    <definedName name="TRNR_40413e5fdc204d7192b046f2979fbf2d_528_6" hidden="1">#REF!</definedName>
    <definedName name="TRNR_405bc3947b294ae699eb9162b4e7796c_61_2" hidden="1">#REF!</definedName>
    <definedName name="TRNR_405d9d01d7db40a28b203bcb73912f34_61_2" hidden="1">#REF!</definedName>
    <definedName name="TRNR_406e975248234e8e93e1836e8f72c278_61_8" hidden="1">#REF!</definedName>
    <definedName name="TRNR_407a6c7021ab449aabe8d48c6f4c6758_61_2" hidden="1">#REF!</definedName>
    <definedName name="TRNR_407e64e853c24ad09c3be06834edccdc_61_2" hidden="1">#REF!</definedName>
    <definedName name="TRNR_408aa1527ba4440285ede664d85f68dc_525_10" hidden="1">#REF!</definedName>
    <definedName name="TRNR_40aa2c1e18684f1fbdfa95464dcbd3b5_61_2" hidden="1">#REF!</definedName>
    <definedName name="TRNR_40c884af0e5e47abbcfe2d757a7595e3_528_6" hidden="1">#REF!</definedName>
    <definedName name="TRNR_40d76d01bbf44b52aa5b8bcfda68b019_61_2" hidden="1">#REF!</definedName>
    <definedName name="TRNR_40d9ffafecf74390b2c5bbd3f4752a4a_285_2" hidden="1">#REF!</definedName>
    <definedName name="TRNR_40dbe84675044e669a99d9a1dd590104_61_2" hidden="1">#REF!</definedName>
    <definedName name="TRNR_40f3ebcb366a42bd912b59cb4160b166_528_6" hidden="1">#REF!</definedName>
    <definedName name="TRNR_40fcd55ba3604256a79c8478e37c8904_61_2" hidden="1">#REF!</definedName>
    <definedName name="TRNR_40fdc49d341c44d296aee28263f7be12_61_2" hidden="1">#REF!</definedName>
    <definedName name="TRNR_4102ab0fb0734bf286a6172cc8ff8a43_61_2" hidden="1">#REF!</definedName>
    <definedName name="TRNR_410f0009e15e443b83f729e00655b20f_61_2" hidden="1">#REF!</definedName>
    <definedName name="TRNR_41136f9115a94134b0b3f7a041ff799d_19_9" hidden="1">#REF!</definedName>
    <definedName name="TRNR_411996cb13394e3093247967fc20bcd6_61_2" hidden="1">#REF!</definedName>
    <definedName name="TRNR_411e629d7c214554aa09ab1e78c5b550_61_2" hidden="1">#REF!</definedName>
    <definedName name="TRNR_411f8f07062e4220a3f8f85de416ff91_61_2" hidden="1">#REF!</definedName>
    <definedName name="TRNR_41284b518a744b97a2dd976761c4e9e7_1021_27" hidden="1">#REF!</definedName>
    <definedName name="TRNR_4147dcaaf6444788a9d24b8af0bc41be_5939_6" hidden="1">#REF!</definedName>
    <definedName name="TRNR_41566fd484e44c51aeefc0d18a218e11_61_2" hidden="1">#REF!</definedName>
    <definedName name="TRNR_4172eb5fdaf449b4a54e12e4f3957073_61_2" hidden="1">#REF!</definedName>
    <definedName name="TRNR_417fb65482c84d8a923aafa4391125ac_95_9" hidden="1">#REF!</definedName>
    <definedName name="TRNR_418ddb9a07c34e27939d7c66531c0234_101_6" hidden="1">#REF!</definedName>
    <definedName name="TRNR_419c9954cd4e47ada56453ef2ae85cba_61_2" hidden="1">#REF!</definedName>
    <definedName name="TRNR_419f6a773cb8476289c5400b81cca2c8_50_2" hidden="1">#REF!</definedName>
    <definedName name="TRNR_41a19d583b3b413f9ef6428eb1aa4c1f_192_3" hidden="1">#REF!</definedName>
    <definedName name="TRNR_41b5108b3d8e4aa1b89a576cd0ec5269_61_2" hidden="1">#REF!</definedName>
    <definedName name="TRNR_41db135dee3f47ac8b90209d2ef733f7_1094_27" hidden="1">#REF!</definedName>
    <definedName name="TRNR_41ede2aa045d4e94a8c481fb03906bfd_61_2" hidden="1">#REF!</definedName>
    <definedName name="TRNR_41edfb657aa547469422f468f0057818_61_2" hidden="1">#REF!</definedName>
    <definedName name="TRNR_41ee74215f744922bb9425bc7c67b403_61_2" hidden="1">#REF!</definedName>
    <definedName name="TRNR_41f5fdcdf5d64435b9a176ff8cebd0a9_279_13" hidden="1">#REF!</definedName>
    <definedName name="TRNR_41fa90ce21f54c6cacc4754aa31ef058_61_2" hidden="1">#REF!</definedName>
    <definedName name="TRNR_423fc7c27b754517bafe432fdb678134_61_2" hidden="1">#REF!</definedName>
    <definedName name="TRNR_4243cad27ce64664ab3949e337503ba4_5808_6" hidden="1">#REF!</definedName>
    <definedName name="TRNR_4245e6fb46184d16a1879881e6704877_61_2" hidden="1">#REF!</definedName>
    <definedName name="TRNR_4248decb272c4e5e8ccbafb7fc26a9f1_56_3" hidden="1">#REF!</definedName>
    <definedName name="TRNR_4251dc5f00bd47b5993500580a12b6eb_544_3" hidden="1">#REF!</definedName>
    <definedName name="TRNR_427813e97726455d8992c7b87e3e43c2_522_1" hidden="1">#REF!</definedName>
    <definedName name="TRNR_42a4cd09cc814caeb429933b8d2b18bb_61_2" hidden="1">#REF!</definedName>
    <definedName name="TRNR_42bf7b52720d45a1a28cb6c3f4e1bd57_61_2" hidden="1">#REF!</definedName>
    <definedName name="TRNR_42e83d946a2f48c3a646f3f9a413760a_525_10" hidden="1">#REF!</definedName>
    <definedName name="TRNR_42f3b5af4333449694aa994e51cf04af_5933_4" hidden="1">#REF!</definedName>
    <definedName name="TRNR_430907fb27684e6ca0562fb585079ad6_5_2" hidden="1">#REF!</definedName>
    <definedName name="TRNR_430e65f860de475387e0e84539264e37_61_2" hidden="1">#REF!</definedName>
    <definedName name="TRNR_431193e98e354859aca4ae14c3695d12_61_2" hidden="1">#REF!</definedName>
    <definedName name="TRNR_43164d82a85a4fe8acbb7e4dcc2ac27a_61_2" hidden="1">#REF!</definedName>
    <definedName name="TRNR_43214b948755410ab854b8443550b263_61_2" hidden="1">#REF!</definedName>
    <definedName name="TRNR_4322518a684843e6a40550502da2a030_6143_4" hidden="1">#REF!</definedName>
    <definedName name="TRNR_4365f3a409a8480884e136b5cd5cd9ff_61_2" hidden="1">#REF!</definedName>
    <definedName name="TRNR_437feaf1367e4cc0829e6bdb6630346a_61_2" hidden="1">#REF!</definedName>
    <definedName name="TRNR_4386de9b43dc44748d0c28a35889ff47_6209_6" hidden="1">#REF!</definedName>
    <definedName name="TRNR_43927e470d7a49bd8a38e9862b5b1c55_61_2" hidden="1">#REF!</definedName>
    <definedName name="TRNR_4396b2dd4e6448b89883b82b9c8700c5_50_2" hidden="1">#REF!</definedName>
    <definedName name="TRNR_43a3aa6eb4a346bbb89dcfa194a402b4_61_2" hidden="1">#REF!</definedName>
    <definedName name="TRNR_43ab5b92b837481a98cfb86f9a381745_61_2" hidden="1">#REF!</definedName>
    <definedName name="TRNR_43ac8b18eecc453881cae2161ee07f2c_61_2" hidden="1">#REF!</definedName>
    <definedName name="TRNR_43b2610f12f54e07a5b7c43e955f2e4f_316_10" hidden="1">#REF!</definedName>
    <definedName name="TRNR_43b4f47ca32d42edaa6e58009831dc94_61_2" hidden="1">#REF!</definedName>
    <definedName name="TRNR_43b75b7866384ba58f089917d0dd5a6f_61_2" hidden="1">#REF!</definedName>
    <definedName name="TRNR_43b82174ce794854ac3dbe26eb8d1e82_61_6" hidden="1">#REF!</definedName>
    <definedName name="TRNR_43c2685c4d2440928c9067ce9dd53e57_286_13" hidden="1">#REF!</definedName>
    <definedName name="TRNR_43c3ca46d8aa4a2886782820c6f2974c_996_27" hidden="1">#REF!</definedName>
    <definedName name="TRNR_43caa851af274387bf24c12055ccafac_103_6" hidden="1">#REF!</definedName>
    <definedName name="TRNR_43d66c358b0d44c6bdcfe820c6d28eae_528_6" hidden="1">#REF!</definedName>
    <definedName name="TRNR_43d8a515f5584f84b80ac6f018cb337d_61_2" hidden="1">#REF!</definedName>
    <definedName name="TRNR_43d96d346b6e4edea66f91c7adf0b9e7_62_11" hidden="1">#REF!</definedName>
    <definedName name="TRNR_43dac23109ae4a60b3517ceee6dc00f3_4_1" hidden="1">#REF!</definedName>
    <definedName name="TRNR_43dbef0091eb4347b5d03d572b814191_5672_12" hidden="1">#REF!</definedName>
    <definedName name="TRNR_43dd1dec45894d4fa5c5ac6c99100eae_61_2" hidden="1">'[1]Gráfico 66'!#REF!</definedName>
    <definedName name="TRNR_44094dfc1b324958afa78033015fec55_527_7" hidden="1">#REF!</definedName>
    <definedName name="TRNR_440aafc98a1a4a66839a61c527dd3867_525_10" hidden="1">#REF!</definedName>
    <definedName name="TRNR_4413f606ed2f4414ba5271d9a4d4f9b5_144_6" hidden="1">#REF!</definedName>
    <definedName name="TRNR_441ec9417cac4fc7a7957e44d2c63ad2_61_2" hidden="1">#REF!</definedName>
    <definedName name="TRNR_441ff898db2f41ada458e94abd7a5517_61_2" hidden="1">#REF!</definedName>
    <definedName name="TRNR_4459fc451c75460f9d8c78d372014a69_61_2" hidden="1">#REF!</definedName>
    <definedName name="TRNR_4461b5a193d543dba862bca3637d7d44_1198_27" hidden="1">#REF!</definedName>
    <definedName name="TRNR_4468d6ba2c124203afaf6754c4354e3d_52_3" hidden="1">#REF!</definedName>
    <definedName name="TRNR_4472d18d8da242aeafa1e8e87d6322ed_61_2" hidden="1">#REF!</definedName>
    <definedName name="TRNR_449a111cdd654009befcb1772bd1b542_61_2" hidden="1">#REF!</definedName>
    <definedName name="TRNR_449db4cad14f4cd5bb8bbaa50123185c_543_3" hidden="1">#REF!</definedName>
    <definedName name="TRNR_44a4ed741fd2463f9bb29c228a0e3f70_6200_4" hidden="1">#REF!</definedName>
    <definedName name="TRNR_44ae0c30dc034e61a0ad9983f1fa5b13_525_10" hidden="1">#REF!</definedName>
    <definedName name="TRNR_44ba288eed1c43ceb466d8fdeeed1280_5932_6" hidden="1">#REF!</definedName>
    <definedName name="TRNR_44c0e0e6986e46b6841a0b70203a4fc0_25_6" hidden="1">#REF!</definedName>
    <definedName name="TRNR_44c237193a304330b0cdd0465601c045_61_2" hidden="1">#REF!</definedName>
    <definedName name="TRNR_44ca1cbd002a4c8d8115609af593664e_61_2" hidden="1">#REF!</definedName>
    <definedName name="TRNR_44ca6578033c4ee18c2903d4d56b3745_5995_6" hidden="1">#REF!</definedName>
    <definedName name="TRNR_44d397fcb4a94c83ab53c8a818902240_61_2" hidden="1">'[1]Gráfico 66'!#REF!</definedName>
    <definedName name="TRNR_44d7715d5ced42acb785f2f3c7a139fb_61_2" hidden="1">#REF!</definedName>
    <definedName name="TRNR_44e4c4339c244871bb7b800f76746822_20_4" hidden="1">#REF!</definedName>
    <definedName name="TRNR_44f21d1430824e2d8eaddc2529beb825_528_2" hidden="1">#REF!</definedName>
    <definedName name="TRNR_450cf95bb47344a8b4b7e1d7c1495f9c_61_2" hidden="1">#REF!</definedName>
    <definedName name="TRNR_45101b76bec041bba3add54ac679f84c_528_6" hidden="1">#REF!</definedName>
    <definedName name="TRNR_4519dc9d85a949efaf18977ed75cf511_61_2" hidden="1">#REF!</definedName>
    <definedName name="TRNR_45333707aeb84623835c3f3ff961b9af_5930_6" hidden="1">#REF!</definedName>
    <definedName name="TRNR_453dda0bfae54e988f6a055fc5116bab_6073_2" hidden="1">#REF!</definedName>
    <definedName name="TRNR_453fbcbb96f143869fafd31d9ec4b1ae_5967_6" hidden="1">#REF!</definedName>
    <definedName name="TRNR_45422f69c64d4e1b9eb76b22a1dcc1e6_61_2" hidden="1">#REF!</definedName>
    <definedName name="TRNR_455764e2eea446d5896d8251b4137c7e_9_1" hidden="1">#REF!</definedName>
    <definedName name="TRNR_455f985b1c6f4d6aa35c440471ec65e6_315_10" hidden="1">#REF!</definedName>
    <definedName name="TRNR_45694eedd4674575b56e51af271a5522_61_2" hidden="1">#REF!</definedName>
    <definedName name="TRNR_456ee95cb2174d22a4be59b7558ed894_5874_12" hidden="1">#REF!</definedName>
    <definedName name="TRNR_457ef66093d544e6a911f22b41896cd8_61_2" hidden="1">#REF!</definedName>
    <definedName name="TRNR_4594e43e1bac47e09cb529f0bff4eff4_6438_2" hidden="1">#REF!</definedName>
    <definedName name="TRNR_459a05003d7941e9a152b9b2ec9f6a72_11_6" hidden="1">#REF!</definedName>
    <definedName name="TRNR_459a770c5f334b15b3fdf5a5063579ba_256_4" hidden="1">'[1]Gráfico 66'!#REF!</definedName>
    <definedName name="TRNR_45a1b0755ead4333bc98be7509ae8aac_61_2" hidden="1">#REF!</definedName>
    <definedName name="TRNR_45a1c2836f424dda9d09b54e639d7604_150_6" hidden="1">#REF!</definedName>
    <definedName name="TRNR_45a25a0f38234e8bb92163d8c69a458b_61_2" hidden="1">#REF!</definedName>
    <definedName name="TRNR_45a7c4761cb14348b2b139219fc042c7_61_2" hidden="1">#REF!</definedName>
    <definedName name="TRNR_45aee70ebdb74a52bb63796459881b48_61_2" hidden="1">#REF!</definedName>
    <definedName name="TRNR_45b04520df5b46f99cd5baa2a3664d1e_61_2" hidden="1">'[1]Gráfico 66'!#REF!</definedName>
    <definedName name="TRNR_45bd85db70614717b1365adfe430c5bd_61_2" hidden="1">'[1]Gráfico 66'!#REF!</definedName>
    <definedName name="TRNR_45c120dedd1b43bebceea7d1cdd515d7_61_2" hidden="1">#REF!</definedName>
    <definedName name="TRNR_45c6233abecb472598e1bad2b6659b3c_528_6" hidden="1">#REF!</definedName>
    <definedName name="TRNR_45c63490178b4986a3c53b5752c4c467_5953_6" hidden="1">#REF!</definedName>
    <definedName name="TRNR_45e60e43ac8b4617a5a03fc0ebd0e560_61_2" hidden="1">#REF!</definedName>
    <definedName name="TRNR_45f4db49adc04ae4ba0ca6b4e8d20289_84_2" hidden="1">#REF!</definedName>
    <definedName name="TRNR_45f8481f726e422a9c995055f9988f98_61_2" hidden="1">#REF!</definedName>
    <definedName name="TRNR_461d11e6af2646ca9324a6bc4ee734cc_61_2" hidden="1">#REF!</definedName>
    <definedName name="TRNR_46249a7862a24d88bf92e96d6b75a873_61_2" hidden="1">#REF!</definedName>
    <definedName name="TRNR_462e7fac5464493ab0b006f3fb666759_61_2" hidden="1">#REF!</definedName>
    <definedName name="TRNR_462ea08c1e9a4d54a0c8cef23c37ac1b_5924_6" hidden="1">#REF!</definedName>
    <definedName name="TRNR_463993afd79f40979fb74dce2060f134_36_2" hidden="1">#REF!</definedName>
    <definedName name="TRNR_463f5da67a4644808c4714ada9a8c20f_61_2" hidden="1">#REF!</definedName>
    <definedName name="TRNR_4643b752a176467292535a431e5c5ea4_61_2" hidden="1">#REF!</definedName>
    <definedName name="TRNR_464b50c490c744059a54e2e604211687_61_2" hidden="1">#REF!</definedName>
    <definedName name="TRNR_4659306324cc40dd97a60693e440e123_61_2" hidden="1">#REF!</definedName>
    <definedName name="TRNR_465f10b79158425392b6f4095e76a3a6_61_2" hidden="1">#REF!</definedName>
    <definedName name="TRNR_465f77d708e947cdad361698363017cd_525_10" hidden="1">#REF!</definedName>
    <definedName name="TRNR_4660642f8604473ba4275d5151bd22f2_992_27" hidden="1">#REF!</definedName>
    <definedName name="TRNR_4660b6abdf084604a51bd5006040a489_6189_4" hidden="1">#REF!</definedName>
    <definedName name="TRNR_46611fa67f2646129172ba873664cd96_61_2" hidden="1">#REF!</definedName>
    <definedName name="TRNR_466a5ef9d68e4e6f899753588a254759_977_10" hidden="1">#REF!</definedName>
    <definedName name="TRNR_4671d14450f64ae391ea7ee98063cd82_1170_28" hidden="1">#REF!</definedName>
    <definedName name="TRNR_468192b8ded0432d8ed9aad4205f33bc_1025_27" hidden="1">#REF!</definedName>
    <definedName name="TRNR_468381c1cfe34a7a90443c932169d51b_5944_6" hidden="1">#REF!</definedName>
    <definedName name="TRNR_4686d65a69d2466fbeafefe4c14d054e_61_2" hidden="1">#REF!</definedName>
    <definedName name="TRNR_4692bffcf52343af96dbd37705ce361f_61_2" hidden="1">'[1]Gráfico 66'!#REF!</definedName>
    <definedName name="TRNR_469dd25a93b34d76b7de77aa43b0adef_523_1" hidden="1">#REF!</definedName>
    <definedName name="TRNR_46b816a8536e44f59ccf57d3fa123f9d_18_9" hidden="1">#REF!</definedName>
    <definedName name="TRNR_46c5815a11bf441b928bfcf58ce4c17f_61_2" hidden="1">#REF!</definedName>
    <definedName name="TRNR_46cf9e54ecdd40a6b502a4a0627ee772_61_2" hidden="1">#REF!</definedName>
    <definedName name="TRNR_46d2daafc957411e808eae34fa21b250_5225_1" hidden="1">#REF!</definedName>
    <definedName name="TRNR_46e5783c253a435b8b5b6951af9d66e2_61_2" hidden="1">#REF!</definedName>
    <definedName name="TRNR_46f51e11247a49c48e7d6cd66c4ec316_61_2" hidden="1">#REF!</definedName>
    <definedName name="TRNR_470fff0471174895b572d988e778b61a_61_2" hidden="1">'[1]Gráfico 66'!#REF!</definedName>
    <definedName name="TRNR_4721e1df027c499da5471b205a94cd8f_61_2" hidden="1">#REF!</definedName>
    <definedName name="TRNR_473f36534c22473093ad82060703c31e_6267_1" hidden="1">#REF!</definedName>
    <definedName name="TRNR_474ebeaad8c748139bb3a1f8dd760ff9_61_2" hidden="1">'[1]Gráfico 66'!#REF!</definedName>
    <definedName name="TRNR_4758748e710a484990fd9d6903222119_99_6" hidden="1">#REF!</definedName>
    <definedName name="TRNR_47aaace0e7a44d68b84c16894f7b6cb3_61_2" hidden="1">#REF!</definedName>
    <definedName name="TRNR_47d28d197c834ec090852d8a70f187ac_61_8" hidden="1">#REF!</definedName>
    <definedName name="TRNR_47d42795e1f64ea18688764905ead40c_62_11" hidden="1">#REF!</definedName>
    <definedName name="TRNR_47e594995d1a4181a06de4bfd55cd728_61_2" hidden="1">#REF!</definedName>
    <definedName name="TRNR_47ede7f59bc3451dac04942324eced58_2120_6" hidden="1">#REF!</definedName>
    <definedName name="TRNR_47ff7baafedd4a40892c42182c71cbdd_61_2" hidden="1">'[1]Gráfico 66'!#REF!</definedName>
    <definedName name="TRNR_481068efdf414947bb89726a8084e56e_6035_6" hidden="1">#REF!</definedName>
    <definedName name="TRNR_4810f990aaac4bb5acc3c26f1e6537b2_50_3" hidden="1">#REF!</definedName>
    <definedName name="TRNR_483f3dd89a7b433faf224f5b77f1d4cd_527_6" hidden="1">#REF!</definedName>
    <definedName name="TRNR_48441dd89e0244a2b1bef87ae62a4bfd_6195_2" hidden="1">#REF!</definedName>
    <definedName name="TRNR_48764a05aca248a4b1349555cdd9b2e2_61_2" hidden="1">#REF!</definedName>
    <definedName name="TRNR_487abf0f9df14395a466fc72b387b36c_61_2" hidden="1">#REF!</definedName>
    <definedName name="TRNR_48a5253ccada4bac85168d650dbf4cc5_61_2" hidden="1">#REF!</definedName>
    <definedName name="TRNR_48aca02a514d436a80f031cf2329136d_61_2" hidden="1">'[1]Gráfico 66'!#REF!</definedName>
    <definedName name="TRNR_48b7d55c16f24194ad3d5fcc63ae94d3_283_6" hidden="1">#REF!</definedName>
    <definedName name="TRNR_48c28b71f1084fad9fe353c4ee4f7609_6059_1" hidden="1">#REF!</definedName>
    <definedName name="TRNR_48d3f86e239e464e91ddd2db05104586_61_2" hidden="1">#REF!</definedName>
    <definedName name="TRNR_48dc680fd69d462f91428b115e976265_61_2" hidden="1">#REF!</definedName>
    <definedName name="TRNR_48e1f84e64054b929deb47e456791553_311_16" hidden="1">#REF!</definedName>
    <definedName name="TRNR_48f02de665fb42c6bb9c3e256a5460d6_61_2" hidden="1">#REF!</definedName>
    <definedName name="TRNR_48fad63284cf4d3390fa0578bba53ae9_61_2" hidden="1">#REF!</definedName>
    <definedName name="TRNR_49114b0caefd401c96ac203a85170616_61_2" hidden="1">#REF!</definedName>
    <definedName name="TRNR_4923de3f8cdf4cbdba60bbc3014dca9b_1090_27" hidden="1">#REF!</definedName>
    <definedName name="TRNR_4928b7b4a01d41e4a09e3911176a2859_61_2" hidden="1">#REF!</definedName>
    <definedName name="TRNR_4939926470674f798123b9846ea2480a_2060_6" hidden="1">#REF!</definedName>
    <definedName name="TRNR_494848690ef3496897bfd3002447f069_24_2" hidden="1">#REF!</definedName>
    <definedName name="TRNR_496134622936461ba0d0a0312182c3eb_61_2" hidden="1">#REF!</definedName>
    <definedName name="TRNR_496febd929664d1082550cab7626385d_61_2" hidden="1">#REF!</definedName>
    <definedName name="TRNR_497b148d595b4f4c87300574d96e72dc_2040_6" hidden="1">#REF!</definedName>
    <definedName name="TRNR_4985ad35799f47b6b7077aac47c1dda3_61_2" hidden="1">#REF!</definedName>
    <definedName name="TRNR_498747e6301246688baf3e92d537c578_1870_7" hidden="1">#REF!</definedName>
    <definedName name="TRNR_4989f42c6dbb449fb2c949f8fce80211_61_2" hidden="1">#REF!</definedName>
    <definedName name="TRNR_498d1f9e15ad449a8455d79a697bafe5_61_2" hidden="1">#REF!</definedName>
    <definedName name="TRNR_49b83f250ffa470d9c55a556fede0351_61_2" hidden="1">#REF!</definedName>
    <definedName name="TRNR_49c910a03f2a4fbfa8d4f00b3a6c3910_6026_6" hidden="1">#REF!</definedName>
    <definedName name="TRNR_49c95a31d1a8486f8d0708dd3723fda8_528_7" hidden="1">#REF!</definedName>
    <definedName name="TRNR_49ca384a48f842d0abcd682d06a06aaa_35_9" hidden="1">#REF!</definedName>
    <definedName name="TRNR_49d39fd3e53b40dbaf97ea223e91b404_318_10" hidden="1">#REF!</definedName>
    <definedName name="TRNR_49f028c642014796849cf1554937c2ca_61_2" hidden="1">#REF!</definedName>
    <definedName name="TRNR_49f4234b0d32485ab12d341c5674c52c_61_2" hidden="1">#REF!</definedName>
    <definedName name="TRNR_49f9739ad2884c008fc18cd22e319d0b_61_2" hidden="1">#REF!</definedName>
    <definedName name="TRNR_4a0a27086aad45bea0451f8e0a519103_61_2" hidden="1">#REF!</definedName>
    <definedName name="TRNR_4a252c42c2b54ea9a10dbe55cd27f739_61_2" hidden="1">#REF!</definedName>
    <definedName name="TRNR_4a2f1959fcc940f7a448dc4ae4045e82_61_2" hidden="1">#REF!</definedName>
    <definedName name="TRNR_4a44bdbda52244de8e2cf3f5eac3f821_61_2" hidden="1">#REF!</definedName>
    <definedName name="TRNR_4a4fe7266dd8446b987f8c5b56e8c583_61_2" hidden="1">#REF!</definedName>
    <definedName name="TRNR_4a709685cbc34b08ba471e8cdda0e1d4_61_2" hidden="1">#REF!</definedName>
    <definedName name="TRNR_4a89ef6e8d89435387ef18abf81a394a_48_10" hidden="1">#REF!</definedName>
    <definedName name="TRNR_4a918f259b0d4082b295a04636a7df9e_2058_6" hidden="1">#REF!</definedName>
    <definedName name="TRNR_4a9366a9a93346dcb11fdd49f6dfb6f9_50_1" hidden="1">#REF!</definedName>
    <definedName name="TRNR_4abaa7c640aa42e189ffd76e08b789b7_527_6" hidden="1">#REF!</definedName>
    <definedName name="TRNR_4ac4888ac5a24dadb1c2248af1df437f_61_2" hidden="1">#REF!</definedName>
    <definedName name="TRNR_4ac8454b98e6417f8bc8f379f1871393_61_2" hidden="1">#REF!</definedName>
    <definedName name="TRNR_4aed9c6293614ba1b1210296e6b96b1d_9_6" hidden="1">#REF!</definedName>
    <definedName name="TRNR_4af8046b6c884da1b1747c1c30072f8c_61_2" hidden="1">#REF!</definedName>
    <definedName name="TRNR_4b08e465de7745db925c2fc499e92fc9_61_2" hidden="1">#REF!</definedName>
    <definedName name="TRNR_4b18b8e167074518b8640afe0799b968_61_2" hidden="1">#REF!</definedName>
    <definedName name="TRNR_4b2093fcce5b4731a9dd18b3945adb5f_5826_6" hidden="1">#REF!</definedName>
    <definedName name="TRNR_4b276125833c4c77aa04d250f1afce1e_6270_2" hidden="1">#REF!</definedName>
    <definedName name="TRNR_4b2bdf6a57ca4abc9a0d1725a39c15b4_61_2" hidden="1">#REF!</definedName>
    <definedName name="TRNR_4b3325a8cbbc407e92cb20831e0baefb_6406_2" hidden="1">#REF!</definedName>
    <definedName name="TRNR_4b445bde1fa64d3a8d2dbe5c5ef1be98_61_2" hidden="1">#REF!</definedName>
    <definedName name="TRNR_4b45d5c777144025ad9d8cb79e5c873e_528_6" hidden="1">#REF!</definedName>
    <definedName name="TRNR_4b4a742b6fe24c2591cfc4f4537c2c4a_61_2" hidden="1">#REF!</definedName>
    <definedName name="TRNR_4b4b47cc97f24f609b27ac7b7f48cc5d_61_2" hidden="1">#REF!</definedName>
    <definedName name="TRNR_4b55d1005b32477aa3b2c99a9d8fc09f_61_2" hidden="1">#REF!</definedName>
    <definedName name="TRNR_4b7b0d35dd2949cfbbaa8ef5a225fe93_525_10" hidden="1">#REF!</definedName>
    <definedName name="TRNR_4b81697bb7c24e58932398584e40d457_61_2" hidden="1">#REF!</definedName>
    <definedName name="TRNR_4ba7748d2ab746ae878a2698f2676299_977_23" hidden="1">#REF!</definedName>
    <definedName name="TRNR_4bc1db5e648b4614aab09794fabd32bf_61_2" hidden="1">#REF!</definedName>
    <definedName name="TRNR_4bd0bc154573492c8c5f2911821bb620_61_2" hidden="1">#REF!</definedName>
    <definedName name="TRNR_4bd25bfc34e94abbb4fe28d52cc284d4_528_6" hidden="1">#REF!</definedName>
    <definedName name="TRNR_4bd37040212b4e5891dba5b18a9e731a_54_3" hidden="1">#REF!</definedName>
    <definedName name="TRNR_4bdfbfb77a4b4f52a9edc484dd6d6ed4_61_2" hidden="1">#REF!</definedName>
    <definedName name="TRNR_4be1248b591749128a5d8d01c13649a8_93_10" hidden="1">#REF!</definedName>
    <definedName name="TRNR_4be9b1ce07ef4192a4dc743fd57586d3_61_2" hidden="1">'[1]Gráfico 66'!#REF!</definedName>
    <definedName name="TRNR_4bebf0240b964fc799707d8ca6f42766_61_2" hidden="1">#REF!</definedName>
    <definedName name="TRNR_4bf036166f1044b48cd1ea612e01fd0c_61_2" hidden="1">#REF!</definedName>
    <definedName name="TRNR_4bf7e4f2df2b4e658622b86a8c682625_108_4" hidden="1">#REF!</definedName>
    <definedName name="TRNR_4c1a4e6110ef400cb8e065e758c4427b_61_2" hidden="1">#REF!</definedName>
    <definedName name="TRNR_4c3ccbbf682e4daea5c181f3074cf483_61_2" hidden="1">#REF!</definedName>
    <definedName name="TRNR_4c4abe5a3d884c31ae144ec7f92dc3c7_2062_6" hidden="1">#REF!</definedName>
    <definedName name="TRNR_4c539e574e994690a45d57118d51b5f6_10_6" hidden="1">#REF!</definedName>
    <definedName name="TRNR_4c665a49f8c24a9fa0d05240da33a423_5835_6" hidden="1">#REF!</definedName>
    <definedName name="TRNR_4c6e11eaf76e4ef59c08f0a386c99e05_61_2" hidden="1">#REF!</definedName>
    <definedName name="TRNR_4c7a4176b90d43ad9a9cc368a47bb8a9_528_7" hidden="1">#REF!</definedName>
    <definedName name="TRNR_4c8b79725b3c4f9d985a5fdb24bc89a8_50_2" hidden="1">#REF!</definedName>
    <definedName name="TRNR_4c8dc71636e34cce9d5ab4055e21d421_192_4" hidden="1">#REF!</definedName>
    <definedName name="TRNR_4c9fdd54b43b40bba7a4c7fb5539b17e_524_10" hidden="1">#REF!</definedName>
    <definedName name="TRNR_4ca5ee922f8749e3b965425fcf358d0b_527_7" hidden="1">#REF!</definedName>
    <definedName name="TRNR_4cad138b95e342ef968ca051badd3bbd_61_2" hidden="1">'[1]Gráfico 66'!#REF!</definedName>
    <definedName name="TRNR_4cadc2cba296432899c6b8b22aefa3a7_61_2" hidden="1">'[1]Gráfico 66'!#REF!</definedName>
    <definedName name="TRNR_4cb5293d7bc44f5b8eb3d613906bf14a_528_6" hidden="1">#REF!</definedName>
    <definedName name="TRNR_4cb669ceba88485e910e3ed8a8f6ad9a_61_2" hidden="1">#REF!</definedName>
    <definedName name="TRNR_4cbd4f35078543feb8b1a5de6939b824_61_2" hidden="1">#REF!</definedName>
    <definedName name="TRNR_4cc13cdd8c584a8caca8bdc4741e6a15_61_2" hidden="1">#REF!</definedName>
    <definedName name="TRNR_4cc385970a784361a95e7c044efc24f9_5876_6" hidden="1">#REF!</definedName>
    <definedName name="TRNR_4cc86e6d9d9f4ac2b8bd6f49dda43379_61_2" hidden="1">#REF!</definedName>
    <definedName name="TRNR_4cc925beb8e64693bde9ed93624b1c29_61_2" hidden="1">#REF!</definedName>
    <definedName name="TRNR_4ceade158cee46989e55dafc8db914c2_61_2" hidden="1">#REF!</definedName>
    <definedName name="TRNR_4ceb8b706f774a5c88d46a046621a347_61_2" hidden="1">#REF!</definedName>
    <definedName name="TRNR_4cf246d559194648b47f6f4855b4bc72_61_2" hidden="1">#REF!</definedName>
    <definedName name="TRNR_4cf7930c463d4fd69cb9f84dd8069353_61_2" hidden="1">#REF!</definedName>
    <definedName name="TRNR_4cfb2570cc3b458382080df8b2a25d3d_74_7" hidden="1">#REF!</definedName>
    <definedName name="TRNR_4d05fab757c54196883bdc474d7d3053_61_2" hidden="1">#REF!</definedName>
    <definedName name="TRNR_4d0891bdeb72401591c4d77021146697_61_2" hidden="1">#REF!</definedName>
    <definedName name="TRNR_4d1de340ec9d4f24ad9670e0abac7d69_61_2" hidden="1">#REF!</definedName>
    <definedName name="TRNR_4d244f58c2ab4b94bb3dda035d3f900b_61_11" hidden="1">#REF!</definedName>
    <definedName name="TRNR_4d29599344b94483bf070da4031a430f_20_4" hidden="1">#REF!</definedName>
    <definedName name="TRNR_4d34a416a5c94368a371e9c254840f16_61_2" hidden="1">#REF!</definedName>
    <definedName name="TRNR_4d43eb16f21f4d4591db8e0ff986a25b_4_2" hidden="1">#REF!</definedName>
    <definedName name="TRNR_4d832d9208b642948a1deff971962c66_61_2" hidden="1">#REF!</definedName>
    <definedName name="TRNR_4d8690b060704309b0089d0fafc0ff00_61_2" hidden="1">#REF!</definedName>
    <definedName name="TRNR_4d8974e0ac714e6a91429decc38399f4_20_4" hidden="1">#REF!</definedName>
    <definedName name="TRNR_4d93ca54a2ac4b3580e55affc1a64cfb_100_6" hidden="1">#REF!</definedName>
    <definedName name="TRNR_4d993b5a1f7440fc911ac9e2a4a1ae04_528_6" hidden="1">#REF!</definedName>
    <definedName name="TRNR_4d9eb51c2a0040178f0775b7da12e348_2080_6" hidden="1">#REF!</definedName>
    <definedName name="TRNR_4da771f2eb0d470c944d16087f96a079_1006_27" hidden="1">#REF!</definedName>
    <definedName name="TRNR_4db56fc4ed294b72ba1c844acb4d3806_90_18" hidden="1">#REF!</definedName>
    <definedName name="TRNR_4db819452f7a487a88d59c8068b4aabc_3919_10" hidden="1">#REF!</definedName>
    <definedName name="TRNR_4dbe36b5262f4adebeb6f8f06bfab4d5_5895_12" hidden="1">#REF!</definedName>
    <definedName name="TRNR_4dc2d19f22104980ba87983d11be9002_52_3" hidden="1">#REF!</definedName>
    <definedName name="TRNR_4ddb94e7ad654504a62b87683eb9c9d1_286_13" hidden="1">#REF!</definedName>
    <definedName name="TRNR_4ddc21be0ec34cac9de97acb83679193_61_2" hidden="1">#REF!</definedName>
    <definedName name="TRNR_4ddcb788d36b4b1d839d4a3dad53dcad_61_2" hidden="1">#REF!</definedName>
    <definedName name="TRNR_4de39371c0234bc6a9d4731485717029_33_15" hidden="1">#REF!</definedName>
    <definedName name="TRNR_4de9e6d23b7b415ca8896bb23bc65d00_61_2" hidden="1">#REF!</definedName>
    <definedName name="TRNR_4e0203f064ab4963a9e73b10b093f6b8_51_3" hidden="1">#REF!</definedName>
    <definedName name="TRNR_4e2709fccfa14125914d6bd23bc74547_2029_6" hidden="1">#REF!</definedName>
    <definedName name="TRNR_4e291a5dd15245988d8c68e06005e766_25_6" hidden="1">#REF!</definedName>
    <definedName name="TRNR_4e3262395d8b48bcbb2a742ef315026c_61_2" hidden="1">#REF!</definedName>
    <definedName name="TRNR_4e33c68072f44d2697c97e4d4bcc94a8_25_6" hidden="1">#REF!</definedName>
    <definedName name="TRNR_4e33eb7111814979a7b915644102b73b_61_2" hidden="1">#REF!</definedName>
    <definedName name="TRNR_4e554ad7c7e04936a7dc65d0850ece2b_61_2" hidden="1">#REF!</definedName>
    <definedName name="TRNR_4e61d29b1b754a5d868e62dabc60fd82_62_11" hidden="1">#REF!</definedName>
    <definedName name="TRNR_4e708cacce3343da8fda37419528986c_61_2" hidden="1">#REF!</definedName>
    <definedName name="TRNR_4e83c17f884a4045a57517c8e42e3411_61_2" hidden="1">#REF!</definedName>
    <definedName name="TRNR_4e8a39bac88b4054aa794140d7e6ced0_528_6" hidden="1">#REF!</definedName>
    <definedName name="TRNR_4e8cf68ea7e04d6bbe36604ab9ebad29_61_6" hidden="1">#REF!</definedName>
    <definedName name="TRNR_4e9380b5e20c41c7bbf54a61804f04b5_6047_6" hidden="1">#REF!</definedName>
    <definedName name="TRNR_4ea02e5be2c244fa8522fdf1a7732a87_61_2" hidden="1">#REF!</definedName>
    <definedName name="TRNR_4ea23f0be1dc48008d30e7235a75a160_19_9" hidden="1">#REF!</definedName>
    <definedName name="TRNR_4ea2b13879054f6f8f5e29bc881480b8_276_6" hidden="1">#REF!</definedName>
    <definedName name="TRNR_4ea9b00a25f1440f8701ec3e692a3d68_25_6" hidden="1">#REF!</definedName>
    <definedName name="TRNR_4eb015deb0514bc290a17a01aee92cc4_61_2" hidden="1">#REF!</definedName>
    <definedName name="TRNR_4eb14cd372694502a9ec67f272a1b729_98_5" hidden="1">#REF!</definedName>
    <definedName name="TRNR_4ee049e3c8c24edb94730d0256090bf7_522_1" hidden="1">#REF!</definedName>
    <definedName name="TRNR_4ee981ec7f86420f87067d2a7d64008c_61_2" hidden="1">#REF!</definedName>
    <definedName name="TRNR_4efc5a6364c74d35b7a62519a5231ad1_982_27" hidden="1">#REF!</definedName>
    <definedName name="TRNR_4eff6759b79a434c81f3715b03092020_61_2" hidden="1">#REF!</definedName>
    <definedName name="TRNR_4f0a7631a19e4da59e889250b6c05e53_61_2" hidden="1">#REF!</definedName>
    <definedName name="TRNR_4f1533abea9f489ca5168aabe95513f7_61_2" hidden="1">#REF!</definedName>
    <definedName name="TRNR_4f2211e241b94bf9ad14ee6d96a6a9c6_1039_27" hidden="1">#REF!</definedName>
    <definedName name="TRNR_4f28a78740244510a3e6a3ed0cde15b3_5862_12" hidden="1">#REF!</definedName>
    <definedName name="TRNR_4f2f1ce5df5b448abdf3361b46c10418_283_13" hidden="1">#REF!</definedName>
    <definedName name="TRNR_4f3f48a861eb45ff8ed3f76da4ee1b97_6186_6" hidden="1">#REF!</definedName>
    <definedName name="TRNR_4f4c417fe2a947349a186025feb14d5e_527_7" hidden="1">#REF!</definedName>
    <definedName name="TRNR_4f586c1e5cf640a387c4c7fbf34fb733_61_2" hidden="1">#REF!</definedName>
    <definedName name="TRNR_4f70dbb92a9a427893c197b38956450b_5825_6" hidden="1">#REF!</definedName>
    <definedName name="TRNR_4f773f4c9d514065ab2b51d2781bed90_61_2" hidden="1">#REF!</definedName>
    <definedName name="TRNR_4f7d29c66d4a4b619feb047b773a378a_61_2" hidden="1">#REF!</definedName>
    <definedName name="TRNR_4f8bcb5d961f47af90151b0219fd201d_287_6" hidden="1">#REF!</definedName>
    <definedName name="TRNR_4f929970dc614109a19c773264b989cc_6214_2" hidden="1">#REF!</definedName>
    <definedName name="TRNR_4fda109a10654d6281ba05a7b280264b_527_7" hidden="1">#REF!</definedName>
    <definedName name="TRNR_5003a2910bc2403c89cfe95d77893175_61_2" hidden="1">#REF!</definedName>
    <definedName name="TRNR_50085c3099234e7aaebdfdc9734a3c74_528_7" hidden="1">#REF!</definedName>
    <definedName name="TRNR_5021939bf7c74be5970fa77b91b49581_61_2" hidden="1">'[1]Gráfico 66'!#REF!</definedName>
    <definedName name="TRNR_5032ed1cca464d648ed7eb5becb27a7c_61_2" hidden="1">#REF!</definedName>
    <definedName name="TRNR_5042f2060f31495fb560caa7e28570a4_21_9" hidden="1">#REF!</definedName>
    <definedName name="TRNR_50446af0aa674b238216f25299931768_61_2" hidden="1">#REF!</definedName>
    <definedName name="TRNR_5045b4b6983b4039a25b1605f0aec2a3_525_10" hidden="1">#REF!</definedName>
    <definedName name="TRNR_504eb4fab34f4898a87b2dd260fd219c_5984_6" hidden="1">#REF!</definedName>
    <definedName name="TRNR_5050335a99604a8cbc930ca0a21368b0_61_2" hidden="1">#REF!</definedName>
    <definedName name="TRNR_509bec4d3c944030acb145d02aaef3e0_61_2" hidden="1">'[1]Gráfico 66'!#REF!</definedName>
    <definedName name="TRNR_509d6a125a0741fd8f13ab5ff4455aa3_5846_12" hidden="1">#REF!</definedName>
    <definedName name="TRNR_509e3795683b48ecb2194345fc040b77_2610_1" hidden="1">#REF!</definedName>
    <definedName name="TRNR_50b8a4d85328414a97a48227f44b56bd_61_2" hidden="1">#REF!</definedName>
    <definedName name="TRNR_50c613b4045f49c7abf3b8d84f529b20_977_2" hidden="1">#REF!</definedName>
    <definedName name="TRNR_50c7164de967447cbfe46b698812ae61_1085_27" hidden="1">#REF!</definedName>
    <definedName name="TRNR_50cdff8f272b4cdf9b8b062919509db5_53_3" hidden="1">#REF!</definedName>
    <definedName name="TRNR_50d4dc43666c4675a610b61ea618b4c1_61_2" hidden="1">#REF!</definedName>
    <definedName name="TRNR_50e0b59816774aea86b976f059ee4328_61_2" hidden="1">#REF!</definedName>
    <definedName name="TRNR_50f728a7ab844953be1f91e46ee27155_1074_27" hidden="1">#REF!</definedName>
    <definedName name="TRNR_5102c9da9ff54641a6bf2f0ca8c4ba1d_61_2" hidden="1">#REF!</definedName>
    <definedName name="TRNR_51083dcd1c3d43848b883c2f38d28644_61_2" hidden="1">#REF!</definedName>
    <definedName name="TRNR_512a533256694c799256968056099533_61_2" hidden="1">#REF!</definedName>
    <definedName name="TRNR_51439525d2834fea831bc8619df4e062_276_6" hidden="1">#REF!</definedName>
    <definedName name="TRNR_516bb35caade4e768826c5a8f948709e_61_2" hidden="1">#REF!</definedName>
    <definedName name="TRNR_518464254664405ab96db0d7e9f715f2_151_6" hidden="1">#REF!</definedName>
    <definedName name="TRNR_518546d7761746ffb17706a7483ac2eb_61_2" hidden="1">#REF!</definedName>
    <definedName name="TRNR_518bc3fa4f6948388e5d39f010b53d86_61_2" hidden="1">#REF!</definedName>
    <definedName name="TRNR_518d38e2e23d478ea89783fc28e24702_61_7" hidden="1">#REF!</definedName>
    <definedName name="TRNR_518f37aadb1c4b569fade2fdaa18e19f_10_4" hidden="1">#REF!</definedName>
    <definedName name="TRNR_519302343efd4217a4d4910978932501_61_2" hidden="1">#REF!</definedName>
    <definedName name="TRNR_51936a29466f491387cec5463ce0aa88_61_2" hidden="1">#REF!</definedName>
    <definedName name="TRNR_5197e57129904796b141cb9f173282eb_527_6" hidden="1">#REF!</definedName>
    <definedName name="TRNR_51a7ff312a0441f1a7ec71519cfd60af_61_2" hidden="1">#REF!</definedName>
    <definedName name="TRNR_51b785ecdc67485eb3d7d3c1c7ccecc3_61_2" hidden="1">#REF!</definedName>
    <definedName name="TRNR_51bd746220c343d88945f68f90838703_6045_2" hidden="1">#REF!</definedName>
    <definedName name="TRNR_51c75d8b324a4155a7cc5e815cdcdd81_915_10" hidden="1">#REF!</definedName>
    <definedName name="TRNR_51c9d27747d7490db9600ca486c1fdde_1035_27" hidden="1">#REF!</definedName>
    <definedName name="TRNR_51cdc0d1652e46d99281a37503daa8e4_61_2" hidden="1">#REF!</definedName>
    <definedName name="TRNR_51d14a073286449abd27497003bae891_61_2" hidden="1">'[1]Gráfico 66'!#REF!</definedName>
    <definedName name="TRNR_51e5adc8fe3241edaabdc5339da3937d_2025_6" hidden="1">#REF!</definedName>
    <definedName name="TRNR_51f7985576174ca9b15d4a562022e248_61_2" hidden="1">#REF!</definedName>
    <definedName name="TRNR_5209f169f2724f86929d6300e1fbfb5a_61_2" hidden="1">#REF!</definedName>
    <definedName name="TRNR_5226f277b52e49819c829b26443935e7_528_2" hidden="1">#REF!</definedName>
    <definedName name="TRNR_52459ea81cfe4313ac98c5ac590dc4cd_237_4" hidden="1">#REF!</definedName>
    <definedName name="TRNR_52488748b50745cf9143f824eadc998c_50_3" hidden="1">#REF!</definedName>
    <definedName name="TRNR_524ccd24869142209603dca0fb113a57_61_2" hidden="1">#REF!</definedName>
    <definedName name="TRNR_525d0b2503e5451aa58d4ef3dfb91fb1_61_2" hidden="1">#REF!</definedName>
    <definedName name="TRNR_5278e05d1f1b4066bf1362aac563c2c7_61_2" hidden="1">#REF!</definedName>
    <definedName name="TRNR_527d428cd89546b0bd2060ef11601ba4_61_2" hidden="1">#REF!</definedName>
    <definedName name="TRNR_529776d702b44b0a8f043df8397a486a_61_2" hidden="1">#REF!</definedName>
    <definedName name="TRNR_52a7d371579b4aba91de16712c211b65_1815_5" hidden="1">#REF!</definedName>
    <definedName name="TRNR_52b2abdc48b14ccdb2454a1b0fa871cb_294_3" hidden="1">#REF!</definedName>
    <definedName name="TRNR_52c75ddc10f14f46afc0b0d0f960e73b_61_2" hidden="1">#REF!</definedName>
    <definedName name="TRNR_52d4df54f23942d99eddbb49842d6c8f_61_2" hidden="1">#REF!</definedName>
    <definedName name="TRNR_52e19429102a40f9a6745898dd75754e_285_10" hidden="1">#REF!</definedName>
    <definedName name="TRNR_52e4fa05f4364c269e7f7d62c2d1e358_61_2" hidden="1">#REF!</definedName>
    <definedName name="TRNR_52e912ea77e847b89bc54e5188435c3b_1045_27" hidden="1">#REF!</definedName>
    <definedName name="TRNR_52fe961a283246d586ff27d78979c996_2_1" hidden="1">#REF!</definedName>
    <definedName name="TRNR_5300ee6d0f4a4dce8af6838944cecb94_61_2" hidden="1">#REF!</definedName>
    <definedName name="TRNR_5304a5c0a5124d87b666e3139c35d056_99_6" hidden="1">#REF!</definedName>
    <definedName name="TRNR_5309b6f33afa431194a1808de2200c10_3920_9" hidden="1">#REF!</definedName>
    <definedName name="TRNR_53187c2b966840beb59aad0fa3cc1f6a_61_2" hidden="1">#REF!</definedName>
    <definedName name="TRNR_5328fa71270e4794b163674371ee6bf2_61_2" hidden="1">#REF!</definedName>
    <definedName name="TRNR_532fa588f0744574868c7f71d111b8f7_61_2" hidden="1">#REF!</definedName>
    <definedName name="TRNR_535e24497af74b0c93c2622522c9276b_47_6" hidden="1">#REF!</definedName>
    <definedName name="TRNR_535e366c422d48c4832a613ea385b4a9_6460_2" hidden="1">#REF!</definedName>
    <definedName name="TRNR_536e6a0a154d4a9d9039f49d134c5c98_25_6" hidden="1">#REF!</definedName>
    <definedName name="TRNR_537e35f7f349485d996ee5004e5c0961_61_2" hidden="1">#REF!</definedName>
    <definedName name="TRNR_53904617ec0d43dfa3bec4f3e5394263_61_2" hidden="1">#REF!</definedName>
    <definedName name="TRNR_53a16a8fce824d0985f541b74a45d826_528_7" hidden="1">#REF!</definedName>
    <definedName name="TRNR_53a51a520e384f34b7237bff8d516f73_50_1" hidden="1">#REF!</definedName>
    <definedName name="TRNR_53ad3545ad54457098a6f184083dbc0e_40_50" hidden="1">#REF!</definedName>
    <definedName name="TRNR_53b3dc596cbf41cbb9bfdb13a8354494_528_7" hidden="1">#REF!</definedName>
    <definedName name="TRNR_53c1b463a05345a38881bebf8deade8b_528_1" hidden="1">#REF!</definedName>
    <definedName name="TRNR_53c4c73fa23a4d48a6693f4b390a0a03_6127_2" hidden="1">#REF!</definedName>
    <definedName name="TRNR_53c6167c83534e6298fbda0283eac4ef_61_2" hidden="1">#REF!</definedName>
    <definedName name="TRNR_53d5812d804943fda802eb0a2c603679_20_4" hidden="1">#REF!</definedName>
    <definedName name="TRNR_53d73b71ce6d47e289923270eada04a3_61_2" hidden="1">#REF!</definedName>
    <definedName name="TRNR_53edd91c534d4ac1a7626ba8329bf6fd_61_2" hidden="1">#REF!</definedName>
    <definedName name="TRNR_5401607d15b74bce84e22e32b20ff630_50_12" hidden="1">#REF!</definedName>
    <definedName name="TRNR_540dbe2c057149d38eef68021aefabdc_61_2" hidden="1">#REF!</definedName>
    <definedName name="TRNR_5420ee21410745868c97dc8c6ec4dce8_61_2" hidden="1">#REF!</definedName>
    <definedName name="TRNR_542ccc3b1fc842788e542e6fd43cd735_2153_6" hidden="1">#REF!</definedName>
    <definedName name="TRNR_542d457e445b4839879b125cf662109b_61_2" hidden="1">#REF!</definedName>
    <definedName name="TRNR_542dbebfefed4deda228e5eb373f8e1b_51_3" hidden="1">#REF!</definedName>
    <definedName name="TRNR_545e0a9732b74e35979c07eaa6851904_61_2" hidden="1">#REF!</definedName>
    <definedName name="TRNR_547a1560a39d4591b0a662aab7fd0f31_61_2" hidden="1">'[1]Gráfico 66'!#REF!</definedName>
    <definedName name="TRNR_547dcfa73f4142aa8faa60689a686d20_61_2" hidden="1">#REF!</definedName>
    <definedName name="TRNR_54971d61229f4447b669492e031a4195_285_13" hidden="1">#REF!</definedName>
    <definedName name="TRNR_549c612067834417a67af153656ab5fd_36_5" hidden="1">#REF!</definedName>
    <definedName name="TRNR_54adc15c99d14a20adc9d3f0d97330a9_61_2" hidden="1">#REF!</definedName>
    <definedName name="TRNR_54b599ea45f64cc7b2835c91fee110c6_61_2" hidden="1">#REF!</definedName>
    <definedName name="TRNR_54c55ac39a6a4a1eb45c25f58ec8fa74_40_6" hidden="1">#REF!</definedName>
    <definedName name="TRNR_54e6523ba3ab4f5ba5756aa8c09f34f5_61_2" hidden="1">#REF!</definedName>
    <definedName name="TRNR_54f7643633564bdfb6e04e1703f645e4_528_6" hidden="1">#REF!</definedName>
    <definedName name="TRNR_54fc9c2bf9e0477db612cd6efef93c61_54_3" hidden="1">#REF!</definedName>
    <definedName name="TRNR_5528c7cffed1473fba267ba437ca5788_61_2" hidden="1">#REF!</definedName>
    <definedName name="TRNR_5529f2ad608b4c7b842917af899422b7_6020_6" hidden="1">#REF!</definedName>
    <definedName name="TRNR_5531abdb7dc1467a9674f31ca68f1dcf_528_7" hidden="1">#REF!</definedName>
    <definedName name="TRNR_55341bcee0fc4dd2ad4f6e0b64c95f13_6118_2" hidden="1">#REF!</definedName>
    <definedName name="TRNR_55420f7109e94d74b88ecd579fbaefe8_1225_27" hidden="1">#REF!</definedName>
    <definedName name="TRNR_55658ef165e14fb0a3f41541b1acbc1e_73_11" hidden="1">#REF!</definedName>
    <definedName name="TRNR_557577a3410841e5b3282e39076ffadc_61_2" hidden="1">#REF!</definedName>
    <definedName name="TRNR_557a008bcc8046fbabefa7c0cea52ead_61_2" hidden="1">#REF!</definedName>
    <definedName name="TRNR_558050fca13b46d588c3f5edc02a2244_50_1" hidden="1">#REF!</definedName>
    <definedName name="TRNR_5585261f09a1416f8dd0bb29d27ad727_61_2" hidden="1">#REF!</definedName>
    <definedName name="TRNR_558a0a5b51af4d21a5211eccb715985a_61_2" hidden="1">#REF!</definedName>
    <definedName name="TRNR_559a027faca94002a9e89a7fc1568e29_98_4" hidden="1">#REF!</definedName>
    <definedName name="TRNR_559acea0c9154b85a6af55647cfde270_61_2" hidden="1">#REF!</definedName>
    <definedName name="TRNR_559f1dbd6dc243678d3b7c55fcf2240a_61_2" hidden="1">#REF!</definedName>
    <definedName name="TRNR_55a80b8e644c4389a17d751a757a15df_977_16" hidden="1">#REF!</definedName>
    <definedName name="TRNR_55b388e0d59645a7a146204a299d6046_61_2" hidden="1">#REF!</definedName>
    <definedName name="TRNR_55cb24f8a40c44bcb11a81dd469151b3_61_2" hidden="1">#REF!</definedName>
    <definedName name="TRNR_55d2770007434bcfbf39ecdcd7e1adf0_20_4" hidden="1">#REF!</definedName>
    <definedName name="TRNR_55d668b6aae84d91962cae575b3117b0_33_9" hidden="1">#REF!</definedName>
    <definedName name="TRNR_55f3829d819c49d0afc8a4bd168d1519_5830_4" hidden="1">#REF!</definedName>
    <definedName name="TRNR_5615aee1c19644508bd92b6aafd3a091_61_2" hidden="1">#REF!</definedName>
    <definedName name="TRNR_563d0f001f60411496a6d0de289b18ca_61_2" hidden="1">#REF!</definedName>
    <definedName name="TRNR_5640f95571334b96bbd0fb2b23cbba17_61_2" hidden="1">#REF!</definedName>
    <definedName name="TRNR_564acf19ac68476bbd7f74ae34f85382_61_2" hidden="1">#REF!</definedName>
    <definedName name="TRNR_564fa1511410495797f3ee57300086a4_283_26" hidden="1">#REF!</definedName>
    <definedName name="TRNR_56520b9221cc4e349bcc866135ccae76_1064_27" hidden="1">#REF!</definedName>
    <definedName name="TRNR_565a0b53c2464f7d86491f7320f9e695_61_2" hidden="1">#REF!</definedName>
    <definedName name="TRNR_567170b150af44449d6155bc7a8933d6_6267_2" hidden="1">#REF!</definedName>
    <definedName name="TRNR_567d064b4b614054be23fccf3c2f141b_25_6" hidden="1">#REF!</definedName>
    <definedName name="TRNR_567f7f2e55644feb9f916f456824e1a6_61_2" hidden="1">#REF!</definedName>
    <definedName name="TRNR_5683c5117c5c4897ad0f37c345facfb6_283_6" hidden="1">#REF!</definedName>
    <definedName name="TRNR_568c4e6db9424605b6348f5c655c2771_61_2" hidden="1">#REF!</definedName>
    <definedName name="TRNR_5690e7bc6d614f8a8b8a618e5cd48c9d_528_6" hidden="1">#REF!</definedName>
    <definedName name="TRNR_5693cbf727674e9083d409dff4fbe2c9_61_2" hidden="1">#REF!</definedName>
    <definedName name="TRNR_56ae46beab8c4ed28d17a37d53721f41_61_2" hidden="1">#REF!</definedName>
    <definedName name="TRNR_56e10a2f034747a58e392b0821c8224a_276_6" hidden="1">#REF!</definedName>
    <definedName name="TRNR_56f1c703bb0843e598d6b1e05a6da435_61_2" hidden="1">#REF!</definedName>
    <definedName name="TRNR_56f325ec07bc4bc1930337c35c3d5fa4_61_2" hidden="1">#REF!</definedName>
    <definedName name="TRNR_56fee73a15a14cc9a74cd198cfc8a99a_40_6" hidden="1">#REF!</definedName>
    <definedName name="TRNR_570364a1b76e4fc095b53b1cc4afdb63_20_4" hidden="1">#REF!</definedName>
    <definedName name="TRNR_5706afa42f504acfbf15f92c4b40960a_6001_6" hidden="1">#REF!</definedName>
    <definedName name="TRNR_5706d2e999b342cdb5a8f23a925723e1_25_6" hidden="1">#REF!</definedName>
    <definedName name="TRNR_5716026194144286b219b76fb3fc2075_6151_2" hidden="1">#REF!</definedName>
    <definedName name="TRNR_571b55d558a9428484fac941247b7ab0_61_2" hidden="1">#REF!</definedName>
    <definedName name="TRNR_571cdde7a2dc4ed79c81593b08f2729c_61_2" hidden="1">'[1]Gráfico 66'!#REF!</definedName>
    <definedName name="TRNR_5724d02365d345d2a7e6bd11f3a9ac2a_61_2" hidden="1">#REF!</definedName>
    <definedName name="TRNR_572b2fb306604af8b84ea6c6da8bbc8c_4_2" hidden="1">#REF!</definedName>
    <definedName name="TRNR_5737387c0cbe4993a23a2d03929b7b7d_61_2" hidden="1">#REF!</definedName>
    <definedName name="TRNR_57489ad0684145cc9f72881c7960dc25_61_2" hidden="1">#REF!</definedName>
    <definedName name="TRNR_574b2ab26a9242138eb980f3709cc1bf_100_6" hidden="1">#REF!</definedName>
    <definedName name="TRNR_5757e0c1ada04d1eb83a988f247db5a7_61_2" hidden="1">#REF!</definedName>
    <definedName name="TRNR_57739265f24f40ca90d124ad77d3d49d_61_2" hidden="1">#REF!</definedName>
    <definedName name="TRNR_577c2fd388234ebca9deb372f82bc382_61_2" hidden="1">#REF!</definedName>
    <definedName name="TRNR_577f739ac9e6435e8607423672447d39_61_2" hidden="1">#REF!</definedName>
    <definedName name="TRNR_57aeee9fd3a845e8ac5969c3ef437274_61_2" hidden="1">#REF!</definedName>
    <definedName name="TRNR_57c3f97cb5f942a9a95d72db38e5b111_98_4" hidden="1">#REF!</definedName>
    <definedName name="TRNR_57c8cef4c75749bdab50cb6042ccc8d4_14_37" hidden="1">#REF!</definedName>
    <definedName name="TRNR_57ddd2abdc0b401ebdc4e98d6cac6057_144_6" hidden="1">#REF!</definedName>
    <definedName name="TRNR_57e084023a434e3e9d85ea3ca81b0316_220_2" hidden="1">'[1]Gráfico 66'!#REF!</definedName>
    <definedName name="TRNR_57f78b8860ae4a68bfbf1415beab5cc3_5925_6" hidden="1">#REF!</definedName>
    <definedName name="TRNR_57fc344ff043432c8ade949db5ffd885_61_2" hidden="1">#REF!</definedName>
    <definedName name="TRNR_5828ec306c8348158974e818eeed7968_61_2" hidden="1">#REF!</definedName>
    <definedName name="TRNR_5831741cf3a449ef93ff7cba1b06a2fc_59_3" hidden="1">#REF!</definedName>
    <definedName name="TRNR_584023de43b54e5ba20510f49e18210c_528_6" hidden="1">#REF!</definedName>
    <definedName name="TRNR_58404466f9b74530ab0e0864d3c83dcd_61_2" hidden="1">#REF!</definedName>
    <definedName name="TRNR_584dba7405d040ee864e35b89a37437e_50_3" hidden="1">#REF!</definedName>
    <definedName name="TRNR_58578cb9ef454b909c1257df7de62f6e_61_2" hidden="1">#REF!</definedName>
    <definedName name="TRNR_5861d92d0fa44f5aaf8098eb01b3d899_26_6" hidden="1">#REF!</definedName>
    <definedName name="TRNR_58662f1255514471a7a0a47a75ef3a4a_25_6" hidden="1">#REF!</definedName>
    <definedName name="TRNR_586a5686622847f88def3e4ea58caeed_61_2" hidden="1">#REF!</definedName>
    <definedName name="TRNR_587442b0f15b4067bcc8148ff00dd234_50_3" hidden="1">#REF!</definedName>
    <definedName name="TRNR_5879c988b88c4ecdb5b609e1b13f5a30_61_2" hidden="1">#REF!</definedName>
    <definedName name="TRNR_587a3ddfa6f149f3b361cc5ddda7b442_2070_6" hidden="1">#REF!</definedName>
    <definedName name="TRNR_587a483ae0d94bd89da5a30294ffa89a_3921_10" hidden="1">#REF!</definedName>
    <definedName name="TRNR_587cb72e40b243b592b9865d4ef910bd_61_2" hidden="1">'[1]Gráfico 66'!#REF!</definedName>
    <definedName name="TRNR_588688f5afe0474cb264c74d9f872e34_61_2" hidden="1">#REF!</definedName>
    <definedName name="TRNR_58a977caa8014871a653501f9df85b90_61_68" hidden="1">#REF!</definedName>
    <definedName name="TRNR_58c0cf8d60c84d038e6832c7f6431578_61_2" hidden="1">#REF!</definedName>
    <definedName name="TRNR_58c53af4a0384fe7b116f11321af4535_6045_7" hidden="1">#REF!</definedName>
    <definedName name="TRNR_58d09ae9695f46abb9083530b8e9a03f_61_2" hidden="1">#REF!</definedName>
    <definedName name="TRNR_58dba61f70524f9cac62830d9cd1a292_61_2" hidden="1">#REF!</definedName>
    <definedName name="TRNR_59110501823f4d39975a954af40fb5dd_2615_1" hidden="1">#REF!</definedName>
    <definedName name="TRNR_593589110c034f97921d4765a70cfade_61_2" hidden="1">#REF!</definedName>
    <definedName name="TRNR_59522978134e46aeb108fad92900a3d7_61_2" hidden="1">'[1]Gráfico 66'!#REF!</definedName>
    <definedName name="TRNR_595d481e314d41e0b9f6cd65190f5f4c_61_2" hidden="1">#REF!</definedName>
    <definedName name="TRNR_5963ba0016af46ed9b63b11a060f9e6b_310_10" hidden="1">#REF!</definedName>
    <definedName name="TRNR_59731a73ca9c4aeda6c93f01f6cf2f44_61_2" hidden="1">#REF!</definedName>
    <definedName name="TRNR_598f71aafd5948cab2ed809f5e148839_5965_6" hidden="1">#REF!</definedName>
    <definedName name="TRNR_5996f71d9aa64a3aa594044101e57681_61_2" hidden="1">#REF!</definedName>
    <definedName name="TRNR_59aaa71d25304daba07aec8c371a957a_528_6" hidden="1">#REF!</definedName>
    <definedName name="TRNR_59aac36b4ee241959c429c03b47c3020_61_2" hidden="1">#REF!</definedName>
    <definedName name="TRNR_59aea6519ce94a2885a639ec47b9a4bd_213_2" hidden="1">'[1]Gráfico 66'!#REF!</definedName>
    <definedName name="TRNR_59af029f9e474902a347d1937b67f261_61_2" hidden="1">#REF!</definedName>
    <definedName name="TRNR_59b4158c00a04b1e9399f023aced9ca5_40_37" hidden="1">#REF!</definedName>
    <definedName name="TRNR_59bec4596f1142769df152552fb9ffbd_525_10" hidden="1">#REF!</definedName>
    <definedName name="TRNR_59c9e245d170437bb656bf618a4a445b_61_2" hidden="1">#REF!</definedName>
    <definedName name="TRNR_59e01efb4e5346a89ba16d6538dda693_61_2" hidden="1">#REF!</definedName>
    <definedName name="TRNR_59e562739e74494284a5c382ac5f1357_528_7" hidden="1">#REF!</definedName>
    <definedName name="TRNR_59e5ad9e85124635b51394cf2ddb09bf_61_2" hidden="1">#REF!</definedName>
    <definedName name="TRNR_5a09ce683a6c43d8bccc6c19598c33d1_1_7" hidden="1">#REF!</definedName>
    <definedName name="TRNR_5a108f32ed4f4194966799a2deab2dcf_61_2" hidden="1">#REF!</definedName>
    <definedName name="TRNR_5a13532569e3426498b4185b179353f7_50_3" hidden="1">#REF!</definedName>
    <definedName name="TRNR_5a1fa3692803457f924121def676087f_61_2" hidden="1">#REF!</definedName>
    <definedName name="TRNR_5a35e9df29364beb9eeba92a71c3a0f2_61_2" hidden="1">#REF!</definedName>
    <definedName name="TRNR_5a39d6f207f34c78b06ddae6d5b572ee_61_2" hidden="1">#REF!</definedName>
    <definedName name="TRNR_5a53c5188f3346448d8cbc745c114fd8_61_2" hidden="1">#REF!</definedName>
    <definedName name="TRNR_5a54fc84579543ff900b1cb46f8b31e5_5880_6" hidden="1">#REF!</definedName>
    <definedName name="TRNR_5a5ed13ab68b4604bfb65b878520f70a_26_6" hidden="1">#REF!</definedName>
    <definedName name="TRNR_5a9b7fb456c648419db18626e60fc189_61_2" hidden="1">#REF!</definedName>
    <definedName name="TRNR_5a9cc52f194e4c3a8ae0c0b09b00c0b0_61_2" hidden="1">#REF!</definedName>
    <definedName name="TRNR_5aac707d89504c188ce0683f025ce559_528_7" hidden="1">#REF!</definedName>
    <definedName name="TRNR_5ab76df3544d4bc6a3e30d96fea90a87_61_2" hidden="1">#REF!</definedName>
    <definedName name="TRNR_5ab78fb159cd4f459c775dc4bdce5f94_61_2" hidden="1">#REF!</definedName>
    <definedName name="TRNR_5abb1d1b29af49d98852f4ccddf8a8c1_20_4" hidden="1">#REF!</definedName>
    <definedName name="TRNR_5ad6dbd7740f4441ac52047c18ca4fa4_5896_6" hidden="1">#REF!</definedName>
    <definedName name="TRNR_5adf932c7f724667b3200290f20da49a_61_2" hidden="1">#REF!</definedName>
    <definedName name="TRNR_5ae1251083d34c939ce430a1c48f4416_61_2" hidden="1">#REF!</definedName>
    <definedName name="TRNR_5af0a3632fe9412087541f62905cb556_61_2" hidden="1">#REF!</definedName>
    <definedName name="TRNR_5b208901547c456e82e5494b3d1cc9f4_61_2" hidden="1">#REF!</definedName>
    <definedName name="TRNR_5b2db92cb6604e8790cc8fc9c7240d9c_61_2" hidden="1">#REF!</definedName>
    <definedName name="TRNR_5b3e9affa6eb4b188986b5d7b0c91378_61_2" hidden="1">#REF!</definedName>
    <definedName name="TRNR_5b69a6d3bffa4030b91e7b9250436f2d_61_2" hidden="1">#REF!</definedName>
    <definedName name="TRNR_5b6dd1f2da944af793cf5afa74587fd5_61_2" hidden="1">#REF!</definedName>
    <definedName name="TRNR_5b7762ca475b4e18bb824f754af3ed91_61_2" hidden="1">#REF!</definedName>
    <definedName name="TRNR_5b8104e72be647faa40be66c0e8ade59_61_2" hidden="1">#REF!</definedName>
    <definedName name="TRNR_5b892815222c46b6ad3b91afd8f39762_61_2" hidden="1">#REF!</definedName>
    <definedName name="TRNR_5b9040f928b44e04bf68ba6634292e04_6387_2" hidden="1">#REF!</definedName>
    <definedName name="TRNR_5b98c8da2cc54bee8da2e661184d1d0d_1190_27" hidden="1">#REF!</definedName>
    <definedName name="TRNR_5b99bae640044f19a7133bfaddddf78d_1306_1" hidden="1">#REF!</definedName>
    <definedName name="TRNR_5ba218a1dff343ec81f0d7e3ed07f021_527_2" hidden="1">#REF!</definedName>
    <definedName name="TRNR_5bb7b1d1d0214cff84f3442f63695245_61_2" hidden="1">#REF!</definedName>
    <definedName name="TRNR_5bbd57f9201b4ccfb6571ff286400431_61_2" hidden="1">'[1]Gráfico 66'!#REF!</definedName>
    <definedName name="TRNR_5bca68d7161d4632a09f1a82467cbf57_61_2" hidden="1">#REF!</definedName>
    <definedName name="TRNR_5be13b3e096843cc92c52e1f05185172_523_27" hidden="1">#REF!</definedName>
    <definedName name="TRNR_5be568aa4f524d698bdf66b289028463_61_2" hidden="1">#REF!</definedName>
    <definedName name="TRNR_5bf78dd6c5ef4c459da0a51fcacd69e8_29_6" hidden="1">#REF!</definedName>
    <definedName name="TRNR_5bfbaae89a924886974ddee2eeb96444_61_2" hidden="1">#REF!</definedName>
    <definedName name="TRNR_5bfc8d3085b8452eb5bda6df7a67f4a9_61_2" hidden="1">#REF!</definedName>
    <definedName name="TRNR_5c05634aeacc481588ab29b7844056cf_61_2" hidden="1">#REF!</definedName>
    <definedName name="TRNR_5c0c195d59f64afc82c0e8eae5f87470_61_2" hidden="1">#REF!</definedName>
    <definedName name="TRNR_5c0f90eb5a3a4621a2b7bcdc95e4b537_61_2" hidden="1">#REF!</definedName>
    <definedName name="TRNR_5c1432b744b949dea0e97de65a2d6985_1019_27" hidden="1">#REF!</definedName>
    <definedName name="TRNR_5c2f20de87be4608b710bf1cd3f5f240_74_6" hidden="1">#REF!</definedName>
    <definedName name="TRNR_5c30b037567f433f8f68f3c85acb245b_61_2" hidden="1">#REF!</definedName>
    <definedName name="TRNR_5c32e29b3773402d8e2af7997a655391_61_2" hidden="1">#REF!</definedName>
    <definedName name="TRNR_5c32ed3372ee418ca7674c1ed91a55a8_528_6" hidden="1">#REF!</definedName>
    <definedName name="TRNR_5c331f1a5d3b43148046d89c010b4f94_61_2" hidden="1">#REF!</definedName>
    <definedName name="TRNR_5c540a567eda4622808982f9af95d06b_5895_12" hidden="1">#REF!</definedName>
    <definedName name="TRNR_5c62bcb961d54b658ba5d01472436c79_5832_6" hidden="1">#REF!</definedName>
    <definedName name="TRNR_5c63178b9148449b908984f28aca2a2c_20_4" hidden="1">#REF!</definedName>
    <definedName name="TRNR_5c645d4f9bcb4d6c98ddeb8618b3311f_61_2" hidden="1">#REF!</definedName>
    <definedName name="TRNR_5c8e8bc517b744388d35f7efcde7d2d4_5_1" hidden="1">#REF!</definedName>
    <definedName name="TRNR_5ca14598e82f4c6c98832253da9e1701_61_2" hidden="1">#REF!</definedName>
    <definedName name="TRNR_5cac6d529c51498eb735025e6ac07f1a_103_6" hidden="1">#REF!</definedName>
    <definedName name="TRNR_5cc0b8b0c9aa481a8f5fb4ae9ee19646_61_2" hidden="1">#REF!</definedName>
    <definedName name="TRNR_5cc1a6bbc5b74908835daae9cfe7135d_61_2" hidden="1">#REF!</definedName>
    <definedName name="TRNR_5cd239dd479a4fa599211af65da5782b_61_2" hidden="1">#REF!</definedName>
    <definedName name="TRNR_5cd5675d29ec4b6782fdb627a24a13d4_61_2" hidden="1">#REF!</definedName>
    <definedName name="TRNR_5cd76631a98b45cabed3257fc11505d0_61_2" hidden="1">#REF!</definedName>
    <definedName name="TRNR_5ceb20a8fceb4afdbbd3ec1ea392a214_61_2" hidden="1">#REF!</definedName>
    <definedName name="TRNR_5cf070bca8184f7596c318a3eae042d6_61_2" hidden="1">#REF!</definedName>
    <definedName name="TRNR_5cf28a50d61e45ca9c94df01b08c621e_443_6" hidden="1">#REF!</definedName>
    <definedName name="TRNR_5cf753c0cef0408983f7a721008e267b_61_2" hidden="1">#REF!</definedName>
    <definedName name="TRNR_5cfe02a721ce47fd87982b5d90cb4e99_61_2" hidden="1">#REF!</definedName>
    <definedName name="TRNR_5d01efd190fe440199a3119cf22a71fd_61_2" hidden="1">#REF!</definedName>
    <definedName name="TRNR_5d161006ba364f88b30011e31fc23c2f_108_4" hidden="1">#REF!</definedName>
    <definedName name="TRNR_5d2ed26d49f642b08238c23e147bb009_61_2" hidden="1">#REF!</definedName>
    <definedName name="TRNR_5d42da699fa34887b0dde5f4e5252432_61_2" hidden="1">#REF!</definedName>
    <definedName name="TRNR_5d61c574a756428187ad1dfa8815f848_528_6" hidden="1">#REF!</definedName>
    <definedName name="TRNR_5d62302dab794786883db4801da242a8_6046_6" hidden="1">#REF!</definedName>
    <definedName name="TRNR_5d64c66343de44819a9a2e5d1e4c1c5b_50_2" hidden="1">#REF!</definedName>
    <definedName name="TRNR_5d759c99105f42ffa9720008b0e49e5e_100_6" hidden="1">#REF!</definedName>
    <definedName name="TRNR_5d765dc12c724f50a48356759da3fcb2_52_50" hidden="1">#REF!</definedName>
    <definedName name="TRNR_5d76f33b3ce24305ae864ea89775229f_61_2" hidden="1">#REF!</definedName>
    <definedName name="TRNR_5d80d7c00b76416cb30896dcd4c312f0_108_4" hidden="1">#REF!</definedName>
    <definedName name="TRNR_5dafbac32f4d493b9003b537011dd400_61_2" hidden="1">#REF!</definedName>
    <definedName name="TRNR_5dba6addd3e84979bd21546eb6451ccd_528_7" hidden="1">#REF!</definedName>
    <definedName name="TRNR_5dc039e2ad8d45768d6516bc55e15fb2_61_2" hidden="1">#REF!</definedName>
    <definedName name="TRNR_5dc470bcdbce4a20b38334c456b64659_5970_6" hidden="1">#REF!</definedName>
    <definedName name="TRNR_5dd13d76b04e4f359b44032e059e53b3_61_2" hidden="1">#REF!</definedName>
    <definedName name="TRNR_5df89837f0764c6fbce706ab64d84fae_61_2" hidden="1">#REF!</definedName>
    <definedName name="TRNR_5e1baf1db0d44371aee301b8355d7373_61_11" hidden="1">#REF!</definedName>
    <definedName name="TRNR_5e24659adffe4c5c9676c083d3eb1bb6_61_2" hidden="1">#REF!</definedName>
    <definedName name="TRNR_5e2ba47419ae473e9e16445a8a1b5028_61_2" hidden="1">#REF!</definedName>
    <definedName name="TRNR_5e30de12e13e4ebfa23606e2b2d2e139_61_2" hidden="1">#REF!</definedName>
    <definedName name="TRNR_5e37f35477d54157868973ed0592574f_20_4" hidden="1">#REF!</definedName>
    <definedName name="TRNR_5e3cc946fa5b42048a7fc16c5dbe55e8_61_2" hidden="1">#REF!</definedName>
    <definedName name="TRNR_5e4b48726a9b4f9aaf8ced5d5aad1a5d_61_2" hidden="1">#REF!</definedName>
    <definedName name="TRNR_5e4bbdf5ac1f42689bfbc95fea83b78e_20_4" hidden="1">#REF!</definedName>
    <definedName name="TRNR_5e5c3bb80e9846f685121be5b7078152_3919_9" hidden="1">#REF!</definedName>
    <definedName name="TRNR_5e6f97fcf96240a8ae19612792fa8c3c_61_2" hidden="1">#REF!</definedName>
    <definedName name="TRNR_5e76ddb7357444358b73c5d4e812b7bd_61_2" hidden="1">#REF!</definedName>
    <definedName name="TRNR_5e7de593e5484aacb98941ea8a1feec0_61_2" hidden="1">#REF!</definedName>
    <definedName name="TRNR_5e80cffb84ea482f8cfdaf13c36fe607_1175_27" hidden="1">#REF!</definedName>
    <definedName name="TRNR_5e8f04e7a3be4e70ab97f6efa9d768d3_22_9" hidden="1">#REF!</definedName>
    <definedName name="TRNR_5ed150840af0452b90466f2d3dfbfb02_3921_10" hidden="1">#REF!</definedName>
    <definedName name="TRNR_5eddd68393014136bbac455d0b5e5424_962_2" hidden="1">#REF!</definedName>
    <definedName name="TRNR_5ee4ae7054c94fa989f518361770960a_61_2" hidden="1">#REF!</definedName>
    <definedName name="TRNR_5ef2dd563fd2431fa01f11b7f4153500_61_2" hidden="1">#REF!</definedName>
    <definedName name="TRNR_5ef4d05c06fc4141af53807f5879f0bd_61_2" hidden="1">#REF!</definedName>
    <definedName name="TRNR_5efaf098a1ce4eb98a331372ad28692f_206_1" hidden="1">#REF!</definedName>
    <definedName name="TRNR_5f015b87426d48c7b018b6b7d36d7944_5873_12" hidden="1">#REF!</definedName>
    <definedName name="TRNR_5f10b5f6d39e4b429efe22708cc219e4_61_2" hidden="1">#REF!</definedName>
    <definedName name="TRNR_5f288a71b985497c96512ea41178376a_2030_6" hidden="1">#REF!</definedName>
    <definedName name="TRNR_5f2aedb297734fff85dc43e63c2a4bc4_61_2" hidden="1">#REF!</definedName>
    <definedName name="TRNR_5f2d304f43e14cd38d6a498bec7810f7_2100_6" hidden="1">#REF!</definedName>
    <definedName name="TRNR_5f3c1f8f40f1498db948fe0c1f427147_61_2" hidden="1">#REF!</definedName>
    <definedName name="TRNR_5f5181e5a9cf426da463646360270a30_61_2" hidden="1">#REF!</definedName>
    <definedName name="TRNR_5f540d9f19f8492098143de79d1186a8_61_2" hidden="1">#REF!</definedName>
    <definedName name="TRNR_5f65d82733fb4d929d7ea516b14bb57d_61_2" hidden="1">#REF!</definedName>
    <definedName name="TRNR_5f7e9a97fa6d4035ae0934b3134252fd_61_2" hidden="1">#REF!</definedName>
    <definedName name="TRNR_5f8fb6bcd4eb45779e84da4b9b9a8007_61_2" hidden="1">#REF!</definedName>
    <definedName name="TRNR_5f901b4a3c214404896c721549585b09_61_2" hidden="1">#REF!</definedName>
    <definedName name="TRNR_5f914395e9014e0eb2ef4cc4da0fbe35_525_10" hidden="1">#REF!</definedName>
    <definedName name="TRNR_5f9897ad5451430aab13e3d9791b6617_5854_6" hidden="1">#REF!</definedName>
    <definedName name="TRNR_5fa43cc2874843e98d9334ed8c0932b8_50_3" hidden="1">#REF!</definedName>
    <definedName name="TRNR_5fb8b8a674254a88b32e8c0d39d16fd8_61_2" hidden="1">#REF!</definedName>
    <definedName name="TRNR_5fc091ca085343c5ade42df507f49367_9_6" hidden="1">#REF!</definedName>
    <definedName name="TRNR_5fcf4d531e264be7bb599ff42eff8b9b_61_2" hidden="1">#REF!</definedName>
    <definedName name="TRNR_5fe358b17b22456f95670d692544a2af_30_1" hidden="1">#REF!</definedName>
    <definedName name="TRNR_5fe9673d65214ac3be09ddb97b7da392_527_6" hidden="1">#REF!</definedName>
    <definedName name="TRNR_601af896be9c4e0f976f0d3834592b34_523_1" hidden="1">#REF!</definedName>
    <definedName name="TRNR_60293b47d7834843a4cfddd1e0abcd85_61_2" hidden="1">#REF!</definedName>
    <definedName name="TRNR_604a4b4da71045b1b497791ee98a6c2a_525_10" hidden="1">#REF!</definedName>
    <definedName name="TRNR_607a54305ff341baa0132046f9609a2d_6268_2" hidden="1">#REF!</definedName>
    <definedName name="TRNR_60813ee49aaf472bb5daf3e15fed26c6_92_8" hidden="1">#REF!</definedName>
    <definedName name="TRNR_6097f853067a413d90f8666fc4d86c6f_5799_4" hidden="1">#REF!</definedName>
    <definedName name="TRNR_60af6799d4ff43cd846522a25d8ce8bf_61_2" hidden="1">#REF!</definedName>
    <definedName name="TRNR_60b6cc9a85ef47329eec8598d5952e04_61_2" hidden="1">#REF!</definedName>
    <definedName name="TRNR_60c33b835bf74edd9d5a4d83b2ff9d5c_50_2" hidden="1">#REF!</definedName>
    <definedName name="TRNR_60d2e3955e284ad0b25666d06cd5f24f_61_2" hidden="1">#REF!</definedName>
    <definedName name="TRNR_60d6c4cb85844363850e8f2066299ade_61_2" hidden="1">#REF!</definedName>
    <definedName name="TRNR_60da80b021cf4b8aa566cd4fe3c1de49_2068_6" hidden="1">#REF!</definedName>
    <definedName name="TRNR_60eb4b57a43a43298efb49d01c486619_61_2" hidden="1">#REF!</definedName>
    <definedName name="TRNR_60f94e8be6614027961b2c2be93bff28_102_6" hidden="1">#REF!</definedName>
    <definedName name="TRNR_610e916be7724c98a4ef201afeffa7bf_61_2" hidden="1">#REF!</definedName>
    <definedName name="TRNR_6136076251d249e49937009d9c19fac4_53_12" hidden="1">#REF!</definedName>
    <definedName name="TRNR_615917cb1a7c4f7198d474e5591443f3_61_2" hidden="1">#REF!</definedName>
    <definedName name="TRNR_61707318f5444bb6b545fac4d9b66021_61_2" hidden="1">#REF!</definedName>
    <definedName name="TRNR_6174f4e92dd34abbbb045ae23b2f09eb_61_2" hidden="1">#REF!</definedName>
    <definedName name="TRNR_617c173702a84816a44e0655b32bf954_61_2" hidden="1">#REF!</definedName>
    <definedName name="TRNR_618aa477b19f483da80c7546b1215d51_61_68" hidden="1">#REF!</definedName>
    <definedName name="TRNR_619170f5093947acac28eaafdeef5d26_21_9" hidden="1">#REF!</definedName>
    <definedName name="TRNR_6193fdf5b5ca4cb98977007db669653b_55_3" hidden="1">#REF!</definedName>
    <definedName name="TRNR_619ec53fefff43468f3a3b1154c06703_21_9" hidden="1">#REF!</definedName>
    <definedName name="TRNR_61b4162dc02d4a4688cf5913100ff540_61_2" hidden="1">#REF!</definedName>
    <definedName name="TRNR_61b7dfbc73da4f759fabb73cdb010901_61_2" hidden="1">#REF!</definedName>
    <definedName name="TRNR_61bfe7ef1e964746934b56f1359af9ec_0_0" hidden="1">#REF!</definedName>
    <definedName name="TRNR_61d8d3ced07c4d6eb04cc9cf5bed4c85_61_2" hidden="1">#REF!</definedName>
    <definedName name="TRNR_61d942e467354d0b88ef05fb445c6f4b_61_2" hidden="1">#REF!</definedName>
    <definedName name="TRNR_61eebad73893432da3db38e8d7223270_62_11" hidden="1">#REF!</definedName>
    <definedName name="TRNR_61fcd668da6a40329b802e14843eed2f_61_2" hidden="1">#REF!</definedName>
    <definedName name="TRNR_620465167de042ccbed96f70587d9403_61_2" hidden="1">#REF!</definedName>
    <definedName name="TRNR_620dc64226c245cdb63925090887e6cb_61_2" hidden="1">#REF!</definedName>
    <definedName name="TRNR_621aac5f7e704981a2dcbefd71b4a667_61_2" hidden="1">'[1]Gráfico 66'!#REF!</definedName>
    <definedName name="TRNR_621b514a91f343a296a8e7966de82a14_2118_6" hidden="1">#REF!</definedName>
    <definedName name="TRNR_622f8b4d6b034eefb6a083a12c04179b_14_50" hidden="1">#REF!</definedName>
    <definedName name="TRNR_623f89fd6f564f24972cb7b2dbbd3850_61_2" hidden="1">#REF!</definedName>
    <definedName name="TRNR_625ee51e7a4d4b319db5cb4be8095c7f_926_10" hidden="1">#REF!</definedName>
    <definedName name="TRNR_627318b476d149b9ae4c8ca5ad221c36_5831_6" hidden="1">#REF!</definedName>
    <definedName name="TRNR_6281ad8af1d4461b960c14b145d6819c_6045_7" hidden="1">#REF!</definedName>
    <definedName name="TRNR_628d7f3a81f44448b2dfb16b053b3e7a_61_2" hidden="1">'[1]Gráfico 66'!#REF!</definedName>
    <definedName name="TRNR_6297798917f24654b951ce0a6a852b5e_61_2" hidden="1">#REF!</definedName>
    <definedName name="TRNR_629f36429ef84771954409c871ee2436_61_2" hidden="1">'[1]Gráfico 66'!#REF!</definedName>
    <definedName name="TRNR_62a091e16cfa461fa4c0376017b79fbd_61_2" hidden="1">#REF!</definedName>
    <definedName name="TRNR_62a724d59fc4456b8d86e115267acaa0_61_2" hidden="1">#REF!</definedName>
    <definedName name="TRNR_62a77ee84ee94e259a60936c9dcde3a9_61_2" hidden="1">#REF!</definedName>
    <definedName name="TRNR_62a7b54f510e48da8a94e3466b1f4e34_20_4" hidden="1">#REF!</definedName>
    <definedName name="TRNR_62aa70f15e404a8db7102d0f773d2f78_6186_6" hidden="1">#REF!</definedName>
    <definedName name="TRNR_62b90ed73c1a4b19bb9386a9718b203d_61_2" hidden="1">#REF!</definedName>
    <definedName name="TRNR_62bae5b9eab546cb930392e150c65ca1_232_18" hidden="1">#REF!</definedName>
    <definedName name="TRNR_62cf8ee7f420490081a191ac1a3f8977_527_7" hidden="1">#REF!</definedName>
    <definedName name="TRNR_62debc58e5154b0a9e986566e319474d_6059_1" hidden="1">#REF!</definedName>
    <definedName name="TRNR_62dff6cbd7864afc9fc46769511bf2fb_50_12" hidden="1">#REF!</definedName>
    <definedName name="TRNR_62e838ac7066413c90325a7b9b55e426_5922_6" hidden="1">#REF!</definedName>
    <definedName name="TRNR_62f05c7e95044e8399c411a631b2ce01_283_6" hidden="1">#REF!</definedName>
    <definedName name="TRNR_62faabbbb8fa47cca16d1c7a00310274_50_17" hidden="1">#REF!</definedName>
    <definedName name="TRNR_630d86383c4648fda6cba0e1edad2d48_61_2" hidden="1">#REF!</definedName>
    <definedName name="TRNR_6331f633a42a452ea68909b5d7f7fa5f_62_11" hidden="1">#REF!</definedName>
    <definedName name="TRNR_6337af1bd52e4a25a4c47c5703ab26e7_61_2" hidden="1">#REF!</definedName>
    <definedName name="TRNR_633d7fe814374ae790bf98ccb400ce6c_55_3" hidden="1">#REF!</definedName>
    <definedName name="TRNR_63412230b93a4b1996ee397edfdfc415_61_2" hidden="1">#REF!</definedName>
    <definedName name="TRNR_6342c4b4705e4690809c1a5bd20c3ffa_51_3" hidden="1">#REF!</definedName>
    <definedName name="TRNR_6347f56c8fe04a599c91979d8285bbc8_61_2" hidden="1">'[1]Gráfico 66'!#REF!</definedName>
    <definedName name="TRNR_6350769710e148a0994db9c9575bf349_19_9" hidden="1">#REF!</definedName>
    <definedName name="TRNR_635554245c3943e2b9169081597d6524_61_2" hidden="1">#REF!</definedName>
    <definedName name="TRNR_6356f272ac23490c952800e9d23339e9_61_2" hidden="1">#REF!</definedName>
    <definedName name="TRNR_636977812d2143599b1a9138492dc0b2_527_6" hidden="1">#REF!</definedName>
    <definedName name="TRNR_63813ee48cc449aab78108a6741555b3_61_2" hidden="1">#REF!</definedName>
    <definedName name="TRNR_6395c97fb6714a27be71674e97807455_50_2" hidden="1">#REF!</definedName>
    <definedName name="TRNR_639c456a3ed541c1b8ce47ee33741835_61_2" hidden="1">#REF!</definedName>
    <definedName name="TRNR_63c013835b194640862df9ffea0c9dd5_61_2" hidden="1">#REF!</definedName>
    <definedName name="TRNR_63e411318d49473695a3f12a2d705750_61_2" hidden="1">#REF!</definedName>
    <definedName name="TRNR_6404843343d64a05aca071a9fefa0349_61_2" hidden="1">#REF!</definedName>
    <definedName name="TRNR_641255f811da4930b4be8b6896e4585c_61_2" hidden="1">#REF!</definedName>
    <definedName name="TRNR_641471fe5cf445bda126bfa46ab4c0b9_61_2" hidden="1">#REF!</definedName>
    <definedName name="TRNR_6443b0d1e71742f3938ab23fd75d493e_61_2" hidden="1">#REF!</definedName>
    <definedName name="TRNR_64589f47096a40fd9f0282246e2bd06b_94_3" hidden="1">#REF!</definedName>
    <definedName name="TRNR_645931310adc40adabb7aa5335bf61ca_54_3" hidden="1">#REF!</definedName>
    <definedName name="TRNR_6460f164cd88468182d913af1d62b5ed_61_2" hidden="1">#REF!</definedName>
    <definedName name="TRNR_646b0ae79e65457192c5ee737acbe6be_61_2" hidden="1">#REF!</definedName>
    <definedName name="TRNR_647fe535f06a44b3a7de972344692943_6251_2" hidden="1">#REF!</definedName>
    <definedName name="TRNR_6494d288bcee4778a8bc445afa0247bd_61_2" hidden="1">#REF!</definedName>
    <definedName name="TRNR_649b251a804445cc8160c1d7fbdcc959_2063_6" hidden="1">#REF!</definedName>
    <definedName name="TRNR_64a7f0580fa04b88be9cfbabff34af7f_103_6" hidden="1">#REF!</definedName>
    <definedName name="TRNR_64b507a4d2314dbda2033f4ee2084513_61_2" hidden="1">#REF!</definedName>
    <definedName name="TRNR_64bc3f60e1da46c8b75d3f4efd1c7d46_61_2" hidden="1">#REF!</definedName>
    <definedName name="TRNR_64c4dc05b07a457387f28d324341f2a5_61_2" hidden="1">#REF!</definedName>
    <definedName name="TRNR_64d2316b071045c18caf146fbfe9bd74_61_2" hidden="1">#REF!</definedName>
    <definedName name="TRNR_64e81d46e16c45089cae8850cc02523e_528_6" hidden="1">#REF!</definedName>
    <definedName name="TRNR_64ece92448d24e3c9dbcc50447a9f999_525_10" hidden="1">#REF!</definedName>
    <definedName name="TRNR_64f396bc18cc49d793704c70c4abf225_6151_4" hidden="1">#REF!</definedName>
    <definedName name="TRNR_65031857ec26411fa7f995719bd6284c_523_2" hidden="1">#REF!</definedName>
    <definedName name="TRNR_65158845b1924f9590f13b919b73543c_61_2" hidden="1">'[1]Gráfico 66'!#REF!</definedName>
    <definedName name="TRNR_65177d20326c4c59923f812ddc24fefd_61_2" hidden="1">#REF!</definedName>
    <definedName name="TRNR_651bda169b154c4db7a16efc2ea10c80_528_6" hidden="1">#REF!</definedName>
    <definedName name="TRNR_6522a2a792fe45979dd7d12a95d2805d_6123_4" hidden="1">#REF!</definedName>
    <definedName name="TRNR_6541b0c5ee604188aeac5984b251bf5e_61_2" hidden="1">#REF!</definedName>
    <definedName name="TRNR_654b3c635a4544a29bb1394499c43358_61_2" hidden="1">#REF!</definedName>
    <definedName name="TRNR_6599379489e842818ef0aa402366274d_6_2" hidden="1">#REF!</definedName>
    <definedName name="TRNR_659e80518b744ac2b88f081a3d8013da_1058_27" hidden="1">#REF!</definedName>
    <definedName name="TRNR_65b53ae75ef349f1986a91bfc11de763_5576_9" hidden="1">#REF!</definedName>
    <definedName name="TRNR_65be836231b84e57b702b27e80f5a956_5310_9" hidden="1">#REF!</definedName>
    <definedName name="TRNR_65d61fc9d1194d399c3b0c3701b25a2b_103_6" hidden="1">#REF!</definedName>
    <definedName name="TRNR_65f8b884421a4e328b4b79fe6a7a233a_528_7" hidden="1">#REF!</definedName>
    <definedName name="TRNR_66011fdb4df745b3a8777e4b2afab6c4_286_13" hidden="1">#REF!</definedName>
    <definedName name="TRNR_662125b9e2df4c169920364cf92a7c2b_102_6" hidden="1">#REF!</definedName>
    <definedName name="TRNR_66467235a73f4f7b9ae49ee5a5326f51_20_4" hidden="1">#REF!</definedName>
    <definedName name="TRNR_665e34be7e1146d1a38d924d4f3af13d_61_2" hidden="1">#REF!</definedName>
    <definedName name="TRNR_66831f31f6e34d4bb2628a36b4075ecf_525_10" hidden="1">#REF!</definedName>
    <definedName name="TRNR_66840eb79b544dde8192168afb79e302_2112_6" hidden="1">#REF!</definedName>
    <definedName name="TRNR_66865e4de4434a638fc640fdd73c3314_312_10" hidden="1">#REF!</definedName>
    <definedName name="TRNR_66907cb647ef40aba0087434ffdd5b31_61_1" hidden="1">#REF!</definedName>
    <definedName name="TRNR_66a4cf25359940d2b12c592811301b98_6023_6" hidden="1">#REF!</definedName>
    <definedName name="TRNR_66a75fd6a9f84e1d9346f221c3f8436a_61_2" hidden="1">#REF!</definedName>
    <definedName name="TRNR_66b6d9f0e0844760bb546eae731067fa_50_1" hidden="1">#REF!</definedName>
    <definedName name="TRNR_66c2292351cc4ada97501b13bc49dc28_309_3" hidden="1">#REF!</definedName>
    <definedName name="TRNR_66c6ed2012664637b2cf70bf2d756401_61_2" hidden="1">#REF!</definedName>
    <definedName name="TRNR_66cab8ded60c43ddac26e59302cd1902_5842_6" hidden="1">#REF!</definedName>
    <definedName name="TRNR_66ec1d4cad764edb9c7c4791921b5c6f_61_2" hidden="1">#REF!</definedName>
    <definedName name="TRNR_66f3153b2e954945aa63d96243b24ff3_61_2" hidden="1">#REF!</definedName>
    <definedName name="TRNR_66f8995ed38a4de2956b64ec79d4af79_325_16" hidden="1">#REF!</definedName>
    <definedName name="TRNR_670c4e1898524db2a870971616c5bdac_61_2" hidden="1">#REF!</definedName>
    <definedName name="TRNR_6723f50d7a2a42069d1dac277b9e1018_61_2" hidden="1">#REF!</definedName>
    <definedName name="TRNR_6741f42ad7cf47ab87ccbceae7cb8e27_61_2" hidden="1">#REF!</definedName>
    <definedName name="TRNR_6743cfb818154571ac227043313d8dc2_98_6" hidden="1">#REF!</definedName>
    <definedName name="TRNR_6756992f71874f39a971390f5e45b2f6_61_2" hidden="1">#REF!</definedName>
    <definedName name="TRNR_675b4ea7715e4041ae64bbacc7b93b42_99_6" hidden="1">#REF!</definedName>
    <definedName name="TRNR_6773b7ae40d94807adc91d395774b894_61_2" hidden="1">#REF!</definedName>
    <definedName name="TRNR_6781d2a85f674222b4e4760314163837_528_7" hidden="1">#REF!</definedName>
    <definedName name="TRNR_678cffdb1b8a42f3b38eef1b7273e56b_61_2" hidden="1">#REF!</definedName>
    <definedName name="TRNR_679bdecb0da447109cc076faed2f5ac4_74_11" hidden="1">#REF!</definedName>
    <definedName name="TRNR_679df6f344c34dd9bc4c2f3cadb6c76c_61_2" hidden="1">#REF!</definedName>
    <definedName name="TRNR_67b0f45d41d44ada8671a6e82a68eb68_61_2" hidden="1">#REF!</definedName>
    <definedName name="TRNR_67b13a86330a467ea58cb864fc303172_61_2" hidden="1">#REF!</definedName>
    <definedName name="TRNR_67b9bbc4ffc045b299b4822e9e815302_61_2" hidden="1">'[1]Gráfico 66'!#REF!</definedName>
    <definedName name="TRNR_67dc1021799043b19c5148ef2a16f016_61_2" hidden="1">#REF!</definedName>
    <definedName name="TRNR_67df0deea3274a219e4a528adec6650a_61_2" hidden="1">'[1]Gráfico 66'!#REF!</definedName>
    <definedName name="TRNR_67f1cac09ce5467d991f549bd30640a1_23_4" hidden="1">#REF!</definedName>
    <definedName name="TRNR_680c231719884eb4800695bf5fc2f6f1_6143_2" hidden="1">#REF!</definedName>
    <definedName name="TRNR_6842f3d1c18a4d1b893275f2381a5e13_61_2" hidden="1">#REF!</definedName>
    <definedName name="TRNR_685089dff16744f2affd511b57ff9429_962_2" hidden="1">#REF!</definedName>
    <definedName name="TRNR_6851eb4dd595429d9221c013457b0219_40_50" hidden="1">#REF!</definedName>
    <definedName name="TRNR_685222d085c44422824d6a6748a87f74_1306_1" hidden="1">#REF!</definedName>
    <definedName name="TRNR_6857bced4c644ae68013cc92b0cdeed1_61_2" hidden="1">#REF!</definedName>
    <definedName name="TRNR_687522668c584b18b3f6331d5af0b1dc_61_2" hidden="1">#REF!</definedName>
    <definedName name="TRNR_68998d733d214f6e99481f22b2fe8cbb_50_1" hidden="1">#REF!</definedName>
    <definedName name="TRNR_689a1a878d1a4baa965cb3a109ad7819_527_6" hidden="1">#REF!</definedName>
    <definedName name="TRNR_689dea5664384c86a9dd3311f039b1d9_61_11" hidden="1">#REF!</definedName>
    <definedName name="TRNR_68aeaf59e33a433d9f2528f7eb20fff2_61_2" hidden="1">#REF!</definedName>
    <definedName name="TRNR_68c4386023ab4b33b04cfed8ed5d6bb8_314_1" hidden="1">#REF!</definedName>
    <definedName name="TRNR_68d87d4647d04464b0bf97ca26adef07_1081_27" hidden="1">#REF!</definedName>
    <definedName name="TRNR_68eb7bdca1c143c7a8baf9b40062f604_525_10" hidden="1">#REF!</definedName>
    <definedName name="TRNR_6909c00572ca4d378c89cbea4142a659_528_6" hidden="1">#REF!</definedName>
    <definedName name="TRNR_690d3bbb66ae4014a30e581a5f50452e_61_2" hidden="1">#REF!</definedName>
    <definedName name="TRNR_691e9ac46b0348398f7cde05eb38db4d_52_6" hidden="1">#REF!</definedName>
    <definedName name="TRNR_6958fee9e98d4b8e92d54d634a97e676_20_4" hidden="1">#REF!</definedName>
    <definedName name="TRNR_69682c2c28254f1fb3bc010c42920314_20_3" hidden="1">#REF!</definedName>
    <definedName name="TRNR_6983e371f9174ef0a105253192ff68ad_61_2" hidden="1">'[1]Gráfico 66'!#REF!</definedName>
    <definedName name="TRNR_69860c4760fc478da7b2e617e21b8af5_525_10" hidden="1">#REF!</definedName>
    <definedName name="TRNR_698f7f7bc4384f5293d5959dec2d85f0_61_2" hidden="1">#REF!</definedName>
    <definedName name="TRNR_699c65bee65142829a5788634d44430d_61_2" hidden="1">'[1]Gráfico 66'!#REF!</definedName>
    <definedName name="TRNR_69aa6f5831f949dc88c031c0babfeb6b_5943_6" hidden="1">#REF!</definedName>
    <definedName name="TRNR_69af4fd6dc7142c080fddbd8967f8dbd_285_6" hidden="1">#REF!</definedName>
    <definedName name="TRNR_69b0a9907a2247de8dfa4d928477ea5b_61_2" hidden="1">#REF!</definedName>
    <definedName name="TRNR_69b771abe28d40899bf618e9b0048552_528_7" hidden="1">#REF!</definedName>
    <definedName name="TRNR_69c580fa74a64fd69697048e653eb9f8_61_2" hidden="1">#REF!</definedName>
    <definedName name="TRNR_69d174bc89db4f158e101fc02987b4be_61_2" hidden="1">'[1]Gráfico 66'!#REF!</definedName>
    <definedName name="TRNR_69d599d4e69a47bdb4f5647249e9e283_61_2" hidden="1">#REF!</definedName>
    <definedName name="TRNR_69d722a2770f46498b72580812a91fc7_61_2" hidden="1">#REF!</definedName>
    <definedName name="TRNR_69d93af8da564811ad3acfe266def886_61_2" hidden="1">#REF!</definedName>
    <definedName name="TRNR_69e69932de1c4fb0b915af74987f699e_5224_1" hidden="1">#REF!</definedName>
    <definedName name="TRNR_69f7a97fa09e448787315629c9290dc7_6038_6" hidden="1">#REF!</definedName>
    <definedName name="TRNR_6a0c1cc924074996a7081d753e90502e_5928_6" hidden="1">#REF!</definedName>
    <definedName name="TRNR_6a0f7bee2d994a9f8e0b8091e6144b8f_61_2" hidden="1">#REF!</definedName>
    <definedName name="TRNR_6a1969c31aa54a20aa7e7a1aff1e08e2_61_2" hidden="1">#REF!</definedName>
    <definedName name="TRNR_6a22e3f81ac444aa93d0bed461bcf41d_51_3" hidden="1">#REF!</definedName>
    <definedName name="TRNR_6a285680401f44028be3024e5d04ab6b_61_2" hidden="1">#REF!</definedName>
    <definedName name="TRNR_6a355ccef06d47038a645309f45903ac_25_6" hidden="1">#REF!</definedName>
    <definedName name="TRNR_6a4262a515204523aaef19899575970e_5847_6" hidden="1">#REF!</definedName>
    <definedName name="TRNR_6a4534dd33854b14a5c7f99b3ac8c7fa_61_2" hidden="1">#REF!</definedName>
    <definedName name="TRNR_6a54d9470aa94a61bf787b1373373c7c_977_24" hidden="1">#REF!</definedName>
    <definedName name="TRNR_6a625270d86d4897ae9bbd72a9f99e8d_2041_6" hidden="1">#REF!</definedName>
    <definedName name="TRNR_6a6c32a49a2141fb917f9f5041fa38ee_61_2" hidden="1">#REF!</definedName>
    <definedName name="TRNR_6a74ecb1babc4774916559865137beab_61_2" hidden="1">#REF!</definedName>
    <definedName name="TRNR_6a77c8ae5d314818b995eea722b4d2e0_314_10" hidden="1">#REF!</definedName>
    <definedName name="TRNR_6a793904bae44b9db82c0c65d8f55e93_61_2" hidden="1">#REF!</definedName>
    <definedName name="TRNR_6a7b5a24db214c16b4571bc746cb54e5_6143_6" hidden="1">#REF!</definedName>
    <definedName name="TRNR_6a81e231b3e240cd8f04ecc48ba39c10_61_2" hidden="1">#REF!</definedName>
    <definedName name="TRNR_6a9110d73b3c4c86a99bf772cb2a36fe_20_4" hidden="1">#REF!</definedName>
    <definedName name="TRNR_6a9f82a5450140ff923d602555d2085a_61_2" hidden="1">'[1]Gráfico 66'!#REF!</definedName>
    <definedName name="TRNR_6aa908f585fc4d808b8dd007e29404c6_20_2" hidden="1">#REF!</definedName>
    <definedName name="TRNR_6aba4459e4944b24bcb96edb58616a4e_977_3" hidden="1">#REF!</definedName>
    <definedName name="TRNR_6ad1b182e9344bc8b26dbe7b4e5b175b_61_2" hidden="1">'[1]Gráfico 66'!#REF!</definedName>
    <definedName name="TRNR_6ad6917da34b4ab8a2db2ce8383d502d_61_2" hidden="1">#REF!</definedName>
    <definedName name="TRNR_6ae4908b106043e0bd5d4ac6eab47fbc_61_2" hidden="1">#REF!</definedName>
    <definedName name="TRNR_6ae7ef0a119e4f48bf875ced81a75f81_977_22" hidden="1">#REF!</definedName>
    <definedName name="TRNR_6b1b66aa6761432784b668eaf5f358ee_61_2" hidden="1">#REF!</definedName>
    <definedName name="TRNR_6b230f2a0cbf47f581dbe93fdda64535_61_2" hidden="1">#REF!</definedName>
    <definedName name="TRNR_6b43ad99948b42229d747e135c9e8a66_61_2" hidden="1">#REF!</definedName>
    <definedName name="TRNR_6b570046f99847a8aacca675ffbce21f_61_2" hidden="1">#REF!</definedName>
    <definedName name="TRNR_6b5a71e47d9943b581f1042c5476a371_61_2" hidden="1">#REF!</definedName>
    <definedName name="TRNR_6b5ecd58c032412d81a0be8b961d8b61_528_6" hidden="1">#REF!</definedName>
    <definedName name="TRNR_6b61bbcd0fed4106a2361abd99f27c16_61_2" hidden="1">'[1]Gráfico 66'!#REF!</definedName>
    <definedName name="TRNR_6b68dd6927534a918d21dc9167805409_528_7" hidden="1">#REF!</definedName>
    <definedName name="TRNR_6b7faa19dfdb480ab54c2a2414e460cd_61_2" hidden="1">#REF!</definedName>
    <definedName name="TRNR_6b80f5c9ad3648b59a60edc798e919a7_61_2" hidden="1">#REF!</definedName>
    <definedName name="TRNR_6b9483113be04b15a4d7379defbc40e6_144_6" hidden="1">#REF!</definedName>
    <definedName name="TRNR_6b9a4f1db98a4a58a968ad8c82d0a186_61_2" hidden="1">#REF!</definedName>
    <definedName name="TRNR_6b9b7deaf5a546bba12e39612003bc0e_285_13" hidden="1">#REF!</definedName>
    <definedName name="TRNR_6ba5080f57084e05b76e225eedd187ef_61_2" hidden="1">#REF!</definedName>
    <definedName name="TRNR_6bc2b578f5b6451197f61ebb3f429d43_40_50" hidden="1">#REF!</definedName>
    <definedName name="TRNR_6bd44d992cb64eb6bea1f00ecba2bb0e_286_13" hidden="1">#REF!</definedName>
    <definedName name="TRNR_6bd673e6db7e4c2bb6567e0fabbf975a_61_2" hidden="1">#REF!</definedName>
    <definedName name="TRNR_6bd81ccff0064f15bc88b323a1272d23_61_2" hidden="1">#REF!</definedName>
    <definedName name="TRNR_6be495047d86462fb33e48fc096bc327_9_6" hidden="1">#REF!</definedName>
    <definedName name="TRNR_6be812195de6450ca23e4c25ac9143b3_528_7" hidden="1">#REF!</definedName>
    <definedName name="TRNR_6bf21b99589f4d799ea2d8be379e09d0_61_2" hidden="1">'[1]Gráfico 66'!#REF!</definedName>
    <definedName name="TRNR_6c0dba062c1d4514961c8dfd38c326ab_61_2" hidden="1">#REF!</definedName>
    <definedName name="TRNR_6c11a9b91282458985ba90b769004a10_2084_6" hidden="1">#REF!</definedName>
    <definedName name="TRNR_6c1c7f4634144285bb5ba9a420d2c538_138_2" hidden="1">#REF!</definedName>
    <definedName name="TRNR_6c1f3ee75e1e4fab830f817548c352e1_61_2" hidden="1">#REF!</definedName>
    <definedName name="TRNR_6c24eda0543542dab747d8e6f2fd2e5a_61_2" hidden="1">#REF!</definedName>
    <definedName name="TRNR_6c25360a531743bbacff28509d9b7e16_61_2" hidden="1">#REF!</definedName>
    <definedName name="TRNR_6c2ebd964c484400a3220b735243321e_61_2" hidden="1">#REF!</definedName>
    <definedName name="TRNR_6c30ec74483642faa0a618a1549be7fb_528_7" hidden="1">#REF!</definedName>
    <definedName name="TRNR_6c450f8d8f184798a66bb4527f93df62_61_2" hidden="1">#REF!</definedName>
    <definedName name="TRNR_6c490c194f004bd7a32615494d43e3ba_61_2" hidden="1">#REF!</definedName>
    <definedName name="TRNR_6c4febc6f224414a8ac8c6f04e3f2a1c_61_2" hidden="1">#REF!</definedName>
    <definedName name="TRNR_6c7c654680614097992df4c32c3d301c_103_6" hidden="1">#REF!</definedName>
    <definedName name="TRNR_6c838f513fb84283b0123c3c4a2e3caf_48_21" hidden="1">#REF!</definedName>
    <definedName name="TRNR_6c85c68d67c44ca09dec5ca410d0c80c_25_6" hidden="1">#REF!</definedName>
    <definedName name="TRNR_6c907771edec49958688205546c40e46_61_2" hidden="1">#REF!</definedName>
    <definedName name="TRNR_6c9283e010c54f0cb23e0d108ffa3edb_61_2" hidden="1">#REF!</definedName>
    <definedName name="TRNR_6c961a6e39ed4d958d645a0712d4c023_61_2" hidden="1">#REF!</definedName>
    <definedName name="TRNR_6c9a85dee14c49afb5ba91d4825da602_25_6" hidden="1">#REF!</definedName>
    <definedName name="TRNR_6cafb6f8c7a64a1e862e55cb8c76ad84_61_2" hidden="1">#REF!</definedName>
    <definedName name="TRNR_6cc44b11c69542f282f0ebde81eb3f07_3919_6" hidden="1">#REF!</definedName>
    <definedName name="TRNR_6cd25b4e119345e2ab0352fa6c3734aa_61_2" hidden="1">#REF!</definedName>
    <definedName name="TRNR_6cddf8b9ac7c49bebf39371169833447_61_2" hidden="1">#REF!</definedName>
    <definedName name="TRNR_6cea9766af2944139d104536843970c5_61_2" hidden="1">#REF!</definedName>
    <definedName name="TRNR_6d074eb99300429782464b5ab97dc884_61_2" hidden="1">#REF!</definedName>
    <definedName name="TRNR_6d0c5a9c56dc45e89279acdba55b4c02_61_2" hidden="1">#REF!</definedName>
    <definedName name="TRNR_6d13093d1d754cb08a65b5f2ec7d73dc_61_2" hidden="1">#REF!</definedName>
    <definedName name="TRNR_6d3a50027c57411db9d6326137bceed4_61_2" hidden="1">#REF!</definedName>
    <definedName name="TRNR_6d4c5080f44b4347bd139ac5bf6bb2d1_61_2" hidden="1">#REF!</definedName>
    <definedName name="TRNR_6d5919b63db84d36a612034a269d7fba_977_25" hidden="1">#REF!</definedName>
    <definedName name="TRNR_6d8ba4db72894714807b3aad6a97a87e_61_2" hidden="1">#REF!</definedName>
    <definedName name="TRNR_6dab023d6ec9493186b73a433ae05516_62_1" hidden="1">'[1]Gráfico 66'!#REF!</definedName>
    <definedName name="TRNR_6daf1b854591482fb92cc2c4149ad7e5_61_2" hidden="1">#REF!</definedName>
    <definedName name="TRNR_6db49b72491b4abe8cf3e4059876b1e1_61_2" hidden="1">#REF!</definedName>
    <definedName name="TRNR_6db99d2eab524e07818b2f4c0906bdf9_61_2" hidden="1">#REF!</definedName>
    <definedName name="TRNR_6dbf8e42b0f74d2ba847cda19e7fdbbf_318_3" hidden="1">'[1]Gráfico 65'!#REF!</definedName>
    <definedName name="TRNR_6de18d481ede4dbba2db067dd3612ee7_61_2" hidden="1">#REF!</definedName>
    <definedName name="TRNR_6e056a637ce5492286a3d76ba4ac5bea_61_2" hidden="1">#REF!</definedName>
    <definedName name="TRNR_6e3b37f96bcd43c2b331f169d9f44427_6139_2" hidden="1">#REF!</definedName>
    <definedName name="TRNR_6e47a65a4ebf4252969a462f59b97e04_50_2" hidden="1">#REF!</definedName>
    <definedName name="TRNR_6e4c1d50a4964d8bb2f5102184e4ba31_5990_6" hidden="1">#REF!</definedName>
    <definedName name="TRNR_6e565880f3a845a4acfd0708072c9bb4_61_2" hidden="1">'[1]Gráfico 66'!#REF!</definedName>
    <definedName name="TRNR_6e6fbe4738db4dbfb9283d2aca9c6e80_61_2" hidden="1">#REF!</definedName>
    <definedName name="TRNR_6e816afbc7264739874074fe8243d789_61_2" hidden="1">#REF!</definedName>
    <definedName name="TRNR_6e886b8b92cb46e88655b0e6d81a9560_61_2" hidden="1">#REF!</definedName>
    <definedName name="TRNR_6e9317cbfe614effaf9d951422c5e6c2_61_2" hidden="1">#REF!</definedName>
    <definedName name="TRNR_6e96916af51c4f13b162c911085ce4d9_61_2" hidden="1">#REF!</definedName>
    <definedName name="TRNR_6eb6f498bce047ebaa27f1b725692538_61_2" hidden="1">#REF!</definedName>
    <definedName name="TRNR_6ef7ee8f5c5748c69ca9ff8aa6493e8a_73_11" hidden="1">#REF!</definedName>
    <definedName name="TRNR_6efc8ece98a3465084e97d3718a0afcf_61_2" hidden="1">#REF!</definedName>
    <definedName name="TRNR_6f09f13e71fd408f80d51c97444aca94_61_2" hidden="1">#REF!</definedName>
    <definedName name="TRNR_6f0ba85fd27d4860ae7af4a470c8bc27_186_10" hidden="1">#REF!</definedName>
    <definedName name="TRNR_6f0bfee74786465887ecf564950eb2a1_61_2" hidden="1">#REF!</definedName>
    <definedName name="TRNR_6f0ee08845a44790a65a300409e53061_61_2" hidden="1">#REF!</definedName>
    <definedName name="TRNR_6f27c0721c67485ca6418a1208bd27bc_61_2" hidden="1">#REF!</definedName>
    <definedName name="TRNR_6f535c575f7d4cc6b85a2f4aac161f89_50_12" hidden="1">#REF!</definedName>
    <definedName name="TRNR_6f5913074f1d49d48e0b3f5b9dad61fd_1002_27" hidden="1">#REF!</definedName>
    <definedName name="TRNR_6f735469bfcf46a89e5cde91981d92ec_61_2" hidden="1">#REF!</definedName>
    <definedName name="TRNR_6f7e2d2ceeaf4fe48b8f7afedd27b10b_49_20" hidden="1">#REF!</definedName>
    <definedName name="TRNR_6f9e183f085c4bfdb58e3127b2f8ac1d_5856_6" hidden="1">#REF!</definedName>
    <definedName name="TRNR_6fa507817c914df99bf047c491c1124d_527_7" hidden="1">#REF!</definedName>
    <definedName name="TRNR_6fb4673d4ab944bdba54c3445dc7eec5_61_2" hidden="1">#REF!</definedName>
    <definedName name="TRNR_6fcc68edee194ae281ced207987e96e6_61_2" hidden="1">#REF!</definedName>
    <definedName name="TRNR_6fd8f9668ba5405f9a232b9b4487e6b0_61_2" hidden="1">#REF!</definedName>
    <definedName name="TRNR_70094ff505eb416daf5f2d8138b2eafe_61_2" hidden="1">#REF!</definedName>
    <definedName name="TRNR_7027b18343dd43f09ed76a223f89369a_61_2" hidden="1">#REF!</definedName>
    <definedName name="TRNR_703092e293fd4844a6b5584389e2a536_524_10" hidden="1">#REF!</definedName>
    <definedName name="TRNR_70363c94d0074c78a9114a7af71bf662_6053_7" hidden="1">#REF!</definedName>
    <definedName name="TRNR_703b5bb0a92346399b367b88d9fe0e95_10_4" hidden="1">#REF!</definedName>
    <definedName name="TRNR_704dc6290794457ea4632b533644244c_61_2" hidden="1">#REF!</definedName>
    <definedName name="TRNR_705b76875aaf409ead583202fb43f429_6137_2" hidden="1">#REF!</definedName>
    <definedName name="TRNR_70687ae9685f44d581a2a5f6a0f33995_50_12" hidden="1">#REF!</definedName>
    <definedName name="TRNR_7070b902d76d44389076a964dd7d3aac_61_2" hidden="1">#REF!</definedName>
    <definedName name="TRNR_7076a15ad0d14560b7e200bf550c83af_61_2" hidden="1">#REF!</definedName>
    <definedName name="TRNR_70861fa4b25c4d34885ecf43bf415173_61_2" hidden="1">'[1]Gráfico 66'!#REF!</definedName>
    <definedName name="TRNR_708c0f11d75142b89b2c5d3b630d4699_61_2" hidden="1">#REF!</definedName>
    <definedName name="TRNR_709c3c36d1b445c3a6c4d6b1b1483465_61_2" hidden="1">#REF!</definedName>
    <definedName name="TRNR_709e49cd243a409ba8c1468f811fbcc5_5879_6" hidden="1">#REF!</definedName>
    <definedName name="TRNR_70a60d70658a49e590f1fca075031721_61_2" hidden="1">#REF!</definedName>
    <definedName name="TRNR_70aa3c04a2ce41069d0ddb1cdbb5056f_50_1" hidden="1">#REF!</definedName>
    <definedName name="TRNR_70aea881bee94c9baead9825352f3f34_6200_4" hidden="1">#REF!</definedName>
    <definedName name="TRNR_70b95ce42fcc4f299b6fbfeafb46b62c_977_12" hidden="1">#REF!</definedName>
    <definedName name="TRNR_70be8fb920a2408781016939b276353f_61_2" hidden="1">#REF!</definedName>
    <definedName name="TRNR_70c42a1d6f2e46a78cc9a0cf6b1b3aa3_20_4" hidden="1">#REF!</definedName>
    <definedName name="TRNR_70d5a6d81e10410d8e8db0900432535f_61_2" hidden="1">#REF!</definedName>
    <definedName name="TRNR_70df3ebe9fc24c418b35611304b4de96_61_2" hidden="1">'[1]Gráfico 66'!#REF!</definedName>
    <definedName name="TRNR_71021787810c4d4aa85b1262c52494d5_5815_6" hidden="1">#REF!</definedName>
    <definedName name="TRNR_711897306fec4439b9b8876ccda69f98_6116_2" hidden="1">#REF!</definedName>
    <definedName name="TRNR_71213f86019c40579ed7cf2aaa63f7a5_5875_6" hidden="1">#REF!</definedName>
    <definedName name="TRNR_713429ba31004bd0a0eb99771e60c183_61_2" hidden="1">#REF!</definedName>
    <definedName name="TRNR_714311dc7aa24b07b908caf7f01f68ce_61_2" hidden="1">#REF!</definedName>
    <definedName name="TRNR_7157bc72ff2c4e3980c57829fb997ef0_61_2" hidden="1">#REF!</definedName>
    <definedName name="TRNR_7157eebde6f3408181d5e4d52a819fbb_3919_2" hidden="1">#REF!</definedName>
    <definedName name="TRNR_7167d0d427eb469b825100f2b9b6337e_61_2" hidden="1">#REF!</definedName>
    <definedName name="TRNR_718b4c3e2e894cd9ae7423466316850f_61_2" hidden="1">#REF!</definedName>
    <definedName name="TRNR_71950cf8cf2e44759149ca1bd33b03a7_61_2" hidden="1">#REF!</definedName>
    <definedName name="TRNR_719b528792c84a4dbbd46e85b5b703f5_61_2" hidden="1">#REF!</definedName>
    <definedName name="TRNR_71b7bef140c74c9eb63f0219b8190c63_61_2" hidden="1">#REF!</definedName>
    <definedName name="TRNR_71c2194e5fe14b389ba8f4c7e67eee3a_5979_6" hidden="1">#REF!</definedName>
    <definedName name="TRNR_71d9ad2232d5451eb639685f27a1f1c3_61_2" hidden="1">#REF!</definedName>
    <definedName name="TRNR_71f718bd9b6c4b4fb78477a3c25f091d_976_3" hidden="1">#REF!</definedName>
    <definedName name="TRNR_720f286990284d72a03f5f2119222325_61_2" hidden="1">#REF!</definedName>
    <definedName name="TRNR_7219beb840fc47db9314f39f4812062f_5828_12" hidden="1">#REF!</definedName>
    <definedName name="TRNR_7236e7be0db844a399c14645c7d8ab79_528_7" hidden="1">#REF!</definedName>
    <definedName name="TRNR_72443d7c095f4468af917f62bdb249a7_61_2" hidden="1">'[1]Gráfico 66'!#REF!</definedName>
    <definedName name="TRNR_7244e376e3e64269a2ccbbbcadd83850_61_2" hidden="1">#REF!</definedName>
    <definedName name="TRNR_724f262dcb674cf2b0706f2eade652c6_315_16" hidden="1">#REF!</definedName>
    <definedName name="TRNR_724ff952d4844be1b2ce5c0b7003c58a_61_2" hidden="1">#REF!</definedName>
    <definedName name="TRNR_7265424580ca45adb31055c84bfb3831_246_1" hidden="1">#REF!</definedName>
    <definedName name="TRNR_7271d2a38ed84e5ba72f2d433c9fd95a_61_2" hidden="1">#REF!</definedName>
    <definedName name="TRNR_7273ec72fb7b4a06ba5f056e55d05b30_61_2" hidden="1">#REF!</definedName>
    <definedName name="TRNR_7276d6c409d64da78f9389b1795ba865_61_2" hidden="1">#REF!</definedName>
    <definedName name="TRNR_727acba7566244c4982c7a0cff775feb_61_2" hidden="1">#REF!</definedName>
    <definedName name="TRNR_727bb4c5495b462ebc7ee9e57748266a_34_4" hidden="1">#REF!</definedName>
    <definedName name="TRNR_727d2b20a70d44768338cee2e7736d28_50_3" hidden="1">#REF!</definedName>
    <definedName name="TRNR_7280b90668304ea0b8852bfbbae5c497_26_38" hidden="1">#REF!</definedName>
    <definedName name="TRNR_728d79c880db4bb292b308c71afae494_20_4" hidden="1">#REF!</definedName>
    <definedName name="TRNR_728fabfc67ab48c7a6953df1f750c89b_61_2" hidden="1">#REF!</definedName>
    <definedName name="TRNR_72915d65e3a24cb4bdaff1491b1d2dfb_61_2" hidden="1">#REF!</definedName>
    <definedName name="TRNR_729edeab67404e7ebf78afcd4983da9c_25_6" hidden="1">#REF!</definedName>
    <definedName name="TRNR_72a43ed6a8914f56a9c4a19e750de31e_6014_6" hidden="1">#REF!</definedName>
    <definedName name="TRNR_72a9fabe52654083a856b31aa835d26d_61_2" hidden="1">#REF!</definedName>
    <definedName name="TRNR_72bc4c9dafa24374a6c38e6a28669d99_98_3" hidden="1">#REF!</definedName>
    <definedName name="TRNR_72cd974fb9a34b0d910a093979c24b28_6307_2" hidden="1">#REF!</definedName>
    <definedName name="TRNR_72d66de19c354e139620e2e9367e621b_61_2" hidden="1">#REF!</definedName>
    <definedName name="TRNR_72defd72a7f243dab5e781a37a72598a_61_2" hidden="1">#REF!</definedName>
    <definedName name="TRNR_72f6484dffbc4662800998f3b05a99d9_61_2" hidden="1">#REF!</definedName>
    <definedName name="TRNR_72fa04773ffd4a6c822e453dded14160_61_2" hidden="1">#REF!</definedName>
    <definedName name="TRNR_72fc806a317345069718fcc6dc0bd3c3_61_2" hidden="1">#REF!</definedName>
    <definedName name="TRNR_7309b055f26a40138728441c7f293abf_315_16" hidden="1">#REF!</definedName>
    <definedName name="TRNR_73105c569f9c4fb7b603dd8889161fb1_61_2" hidden="1">#REF!</definedName>
    <definedName name="TRNR_731844dacb794558b7b524fde0aa035e_4_2" hidden="1">#REF!</definedName>
    <definedName name="TRNR_731be505d289433bb9099ac101f813a3_61_2" hidden="1">'[1]Gráfico 66'!#REF!</definedName>
    <definedName name="TRNR_734d89199dfa4260861dbbc18134be1e_527_6" hidden="1">#REF!</definedName>
    <definedName name="TRNR_735733d6b266470386b9d0434be005b4_61_2" hidden="1">#REF!</definedName>
    <definedName name="TRNR_73626c23cbc340039b26a905b6f733e5_2052_6" hidden="1">#REF!</definedName>
    <definedName name="TRNR_73676bd2916342f18d87f9debc694466_528_7" hidden="1">#REF!</definedName>
    <definedName name="TRNR_736a0ef24cb34beeb076b49937d06826_5965_6" hidden="1">#REF!</definedName>
    <definedName name="TRNR_7376147c93fa44fda1e42e768e786928_5869_6" hidden="1">#REF!</definedName>
    <definedName name="TRNR_7377952f20394a94a4a90a8a73dfdb9d_61_2" hidden="1">#REF!</definedName>
    <definedName name="TRNR_738353abc3f340bb809fae29e65b81f6_61_2" hidden="1">#REF!</definedName>
    <definedName name="TRNR_73851af729a24770a1583ab2eff43c86_5188_3" hidden="1">#REF!</definedName>
    <definedName name="TRNR_73935765380e4defba22b8f64dc9e883_102_6" hidden="1">#REF!</definedName>
    <definedName name="TRNR_73b1152fa17c407baa2729107433b2f8_285_13" hidden="1">#REF!</definedName>
    <definedName name="TRNR_73b20cf733d44cdc8f16508bf5f82cdb_61_2" hidden="1">#REF!</definedName>
    <definedName name="TRNR_73c2f1ead3614b479255eaa264f33950_6044_6" hidden="1">#REF!</definedName>
    <definedName name="TRNR_73dd167c755a406ca71c7279b6c87768_61_2" hidden="1">#REF!</definedName>
    <definedName name="TRNR_73dd36b23bda424ebd165614ec7619e6_61_2" hidden="1">#REF!</definedName>
    <definedName name="TRNR_73e18155a40b405d986020bf832a9e3f_52_37" hidden="1">#REF!</definedName>
    <definedName name="TRNR_73e5c59d43d4461198fb0ee12e83efcb_61_2" hidden="1">#REF!</definedName>
    <definedName name="TRNR_73e6030346d04d27a48e4ed65cd69c3b_61_2" hidden="1">#REF!</definedName>
    <definedName name="TRNR_73ea5ab13ab141339bf4770864312840_61_2" hidden="1">#REF!</definedName>
    <definedName name="TRNR_73f358780fb9451d8e10e19adba3b10f_54_3" hidden="1">#REF!</definedName>
    <definedName name="TRNR_73fc614abde44369872ba2ca15397d83_6267_2" hidden="1">#REF!</definedName>
    <definedName name="TRNR_73fd8b13a93147ba943e570b6c8c63dc_528_6" hidden="1">#REF!</definedName>
    <definedName name="TRNR_741a6979a750448896496dbc84352d6e_61_2" hidden="1">#REF!</definedName>
    <definedName name="TRNR_7425a9269008464bb1a94f4559ad8aaf_2055_6" hidden="1">#REF!</definedName>
    <definedName name="TRNR_7440927b5c164c72a24f4fdac98f67e0_61_2" hidden="1">#REF!</definedName>
    <definedName name="TRNR_744bcbfaafd04ccfb3d47adae799477f_102_6" hidden="1">#REF!</definedName>
    <definedName name="TRNR_744f0b927f1f4a95a750b577faf5e8cd_281_26" hidden="1">#REF!</definedName>
    <definedName name="TRNR_745a221b7838406b92d9fc591738155e_52_50" hidden="1">#REF!</definedName>
    <definedName name="TRNR_745c9b262fe54c9caa95127ad74239bc_528_6" hidden="1">#REF!</definedName>
    <definedName name="TRNR_7465f767effa43e8ac26759dcaa83a62_523_3" hidden="1">#REF!</definedName>
    <definedName name="TRNR_747d98081f444f0bbe7f70e23b94930c_1057_27" hidden="1">#REF!</definedName>
    <definedName name="TRNR_74922fbec05648e2b096f8ad512dae61_25_6" hidden="1">#REF!</definedName>
    <definedName name="TRNR_7493eed852ac492e924671d7d96a4a17_61_2" hidden="1">#REF!</definedName>
    <definedName name="TRNR_749560e023de4deaa7f821b71b670dbb_528_6" hidden="1">#REF!</definedName>
    <definedName name="TRNR_749e40c065274facb5bee41afc3f984e_525_1" hidden="1">#REF!</definedName>
    <definedName name="TRNR_74cecbe3b76d4f70a5832d602fbed9ea_2043_6" hidden="1">#REF!</definedName>
    <definedName name="TRNR_74d2912a412b486ea34ca690e7eb6f86_528_7" hidden="1">#REF!</definedName>
    <definedName name="TRNR_74d89f5b71f946dfa68463dc91f81dc6_61_2" hidden="1">#REF!</definedName>
    <definedName name="TRNR_75007409cbc04bcea984c96d56017067_6230_4" hidden="1">#REF!</definedName>
    <definedName name="TRNR_7505256ac3a7406f98e65320e9790565_61_2" hidden="1">#REF!</definedName>
    <definedName name="TRNR_750a1c1d395a46abb12056f4e329e60e_61_2" hidden="1">#REF!</definedName>
    <definedName name="TRNR_750b4f6c7aaf4aec958bbe7c5852af1c_986_27" hidden="1">#REF!</definedName>
    <definedName name="TRNR_7510dd3c6b8946fba5758255900bb3ee_61_2" hidden="1">#REF!</definedName>
    <definedName name="TRNR_7529b4d74f0d49b7b897f01b8e5f222a_98_6" hidden="1">#REF!</definedName>
    <definedName name="TRNR_752bca9a8a854a819602c28284df33fe_61_2" hidden="1">#REF!</definedName>
    <definedName name="TRNR_7530135b2dcb4bb5a9500bd852f05881_61_2" hidden="1">#REF!</definedName>
    <definedName name="TRNR_7531204f0886470cb8bf619dc4976ce1_61_2" hidden="1">#REF!</definedName>
    <definedName name="TRNR_7542d04af7a840c4a41276e7cec9077c_1_7" hidden="1">#REF!</definedName>
    <definedName name="TRNR_7548a435092d4049a2fbca06e5d6cfd9_61_2" hidden="1">#REF!</definedName>
    <definedName name="TRNR_75707a0f4c97499c85b8f2f64a2e2985_1107_27" hidden="1">#REF!</definedName>
    <definedName name="TRNR_7578a753018343c49a8f937374b6273a_61_2" hidden="1">#REF!</definedName>
    <definedName name="TRNR_757acba254ef4c9c9553a32e3a463a2d_61_2" hidden="1">#REF!</definedName>
    <definedName name="TRNR_757e23b5d9884255998431dd4ac25c03_6_1" hidden="1">#REF!</definedName>
    <definedName name="TRNR_759130116bb24252a4b35b7d06109861_61_2" hidden="1">#REF!</definedName>
    <definedName name="TRNR_75921d39a01f480ca0c3a05e21dd9d29_61_2" hidden="1">'[1]Gráfico 66'!#REF!</definedName>
    <definedName name="TRNR_7593290c7d1344b7813cbaa2efe038b9_61_2" hidden="1">#REF!</definedName>
    <definedName name="TRNR_75a92d3bcbfe4fa38817830abe5764d2_62_1" hidden="1">#REF!</definedName>
    <definedName name="TRNR_75bebc98a7664334bbe7d45cf35dc149_94_3" hidden="1">#REF!</definedName>
    <definedName name="TRNR_75ddff8a608d47ad84e7b4bbb5b6be84_6143_4" hidden="1">#REF!</definedName>
    <definedName name="TRNR_75f74acefa924fbebfac40967cb0e2c1_6186_2" hidden="1">#REF!</definedName>
    <definedName name="TRNR_760f5a8c646c469b84dafc720f19bd8c_61_2" hidden="1">#REF!</definedName>
    <definedName name="TRNR_7615cb9dffe44d6f903dd63b359ac174_61_2" hidden="1">#REF!</definedName>
    <definedName name="TRNR_761677e378dd47508064cdd4e500eb31_61_2" hidden="1">#REF!</definedName>
    <definedName name="TRNR_762c2e7cdc46458fa3a397c6b99dde8e_61_2" hidden="1">#REF!</definedName>
    <definedName name="TRNR_76319cd764c944fe90e7a26aecd1684a_61_2" hidden="1">#REF!</definedName>
    <definedName name="TRNR_763e6b9bb8704654be0d9ce44377d51c_19_9" hidden="1">#REF!</definedName>
    <definedName name="TRNR_7646be55a03a4a74bd6600e54ff74c81_61_2" hidden="1">#REF!</definedName>
    <definedName name="TRNR_76492e42a82b4f31a0324d43c7f63b90_309_7" hidden="1">#REF!</definedName>
    <definedName name="TRNR_7655339988604120a5a35fbeea6716a7_61_2" hidden="1">#REF!</definedName>
    <definedName name="TRNR_76582f6f899c43a29279a3d1a02ae87a_2083_6" hidden="1">#REF!</definedName>
    <definedName name="TRNR_7658e0b1a15543f1ae9f5707337beba9_6031_6" hidden="1">#REF!</definedName>
    <definedName name="TRNR_76590875345a43df941c0a3435559934_287_26" hidden="1">#REF!</definedName>
    <definedName name="TRNR_7673411ed59445afbc698f04c6abfdbb_61_2" hidden="1">#REF!</definedName>
    <definedName name="TRNR_7685e1cd6801491bb8b4865bee78782e_61_2" hidden="1">#REF!</definedName>
    <definedName name="TRNR_769205437c0a446b80819575ec03dae6_528_6" hidden="1">#REF!</definedName>
    <definedName name="TRNR_7695038d41a642d5b1c356fe0d36abe5_528_6" hidden="1">#REF!</definedName>
    <definedName name="TRNR_76bd3d2364c5421abe95b046d6c1543e_61_2" hidden="1">#REF!</definedName>
    <definedName name="TRNR_76c277fb0e53449c8a93a7ef9e8fe37b_61_2" hidden="1">#REF!</definedName>
    <definedName name="TRNR_76c9b9c6777849e2af6799a868b0bdfd_528_7" hidden="1">#REF!</definedName>
    <definedName name="TRNR_76d9b9b472bf4d64986f7b57f7d14157_61_2" hidden="1">#REF!</definedName>
    <definedName name="TRNR_76fc96abb8e74162bbea174ecb6a50fb_62_11" hidden="1">#REF!</definedName>
    <definedName name="TRNR_77115e6265674d3599eb8a5335586ece_54_3" hidden="1">#REF!</definedName>
    <definedName name="TRNR_7711c2ea98e04c36b4f15eff424dab24_61_10" hidden="1">#REF!</definedName>
    <definedName name="TRNR_771a97de8cca4ce4b77061aaafe24bac_61_2" hidden="1">#REF!</definedName>
    <definedName name="TRNR_771cb42e1e054282be0077aeca9487f7_527_7" hidden="1">#REF!</definedName>
    <definedName name="TRNR_77263bff4edc412a8ad85802121c7e56_61_2" hidden="1">#REF!</definedName>
    <definedName name="TRNR_77340240804349618fa62e5d14e6049f_61_2" hidden="1">#REF!</definedName>
    <definedName name="TRNR_773bb486f253412c94c35ad30fc55d59_61_2" hidden="1">#REF!</definedName>
    <definedName name="TRNR_773ecb4d754c41e6be4eff6afb053cac_20_4" hidden="1">#REF!</definedName>
    <definedName name="TRNR_773fc798edd94b5494af1b44f19d674b_61_4" hidden="1">#REF!</definedName>
    <definedName name="TRNR_77401bbf1c9943c6b2049b65806931c9_1_2" hidden="1">#REF!</definedName>
    <definedName name="TRNR_774a6f763c5c4686a450565037bf4915_61_2" hidden="1">#REF!</definedName>
    <definedName name="TRNR_775797d290e24499a9f8508eb74e45f0_5833_12" hidden="1">#REF!</definedName>
    <definedName name="TRNR_775b7cbd0c7e41d09a9fdc2a9c3cb924_33_2" hidden="1">#REF!</definedName>
    <definedName name="TRNR_7765d95f95f64218aae62b1f07152ee4_103_6" hidden="1">#REF!</definedName>
    <definedName name="TRNR_776cb8da66e54b82aaf712f02a7d0d4b_97_1" hidden="1">#REF!</definedName>
    <definedName name="TRNR_7772fed858614d25aa0c7fe23881bd38_61_2" hidden="1">#REF!</definedName>
    <definedName name="TRNR_7783bb416cbc446daa53d38c0c6a9dcc_61_2" hidden="1">'[1]Gráfico 66'!#REF!</definedName>
    <definedName name="TRNR_778e2d8356ef4ec5b56cdd6dfbb2f21a_25_6" hidden="1">#REF!</definedName>
    <definedName name="TRNR_77dd881317d94d04b9b743025be1527b_10_4" hidden="1">#REF!</definedName>
    <definedName name="TRNR_77fc1748e5294bf5b83c0e3d4d8aac82_61_2" hidden="1">#REF!</definedName>
    <definedName name="TRNR_77fd1950a7f24eadadb681b518fd55f4_61_2" hidden="1">#REF!</definedName>
    <definedName name="TRNR_7806a49502834039bf4889699dd80aa7_61_2" hidden="1">#REF!</definedName>
    <definedName name="TRNR_7818b14efde34d18bf36bb53fb8b8ff7_523_1" hidden="1">#REF!</definedName>
    <definedName name="TRNR_7842694193b94a3da362069888702c3e_61_2" hidden="1">#REF!</definedName>
    <definedName name="TRNR_784e3c899b0348ab8cf5670b666f8b0b_6143_6" hidden="1">#REF!</definedName>
    <definedName name="TRNR_784f6989c19648dd8d3f027719cdc9a6_61_2" hidden="1">#REF!</definedName>
    <definedName name="TRNR_786c613739154a869b72de2ea4c34c1d_277_6" hidden="1">#REF!</definedName>
    <definedName name="TRNR_7873daf9e13f461c94dfaab2c9600484_61_2" hidden="1">#REF!</definedName>
    <definedName name="TRNR_787d29c624944174a524717f6516c856_61_2" hidden="1">#REF!</definedName>
    <definedName name="TRNR_787e0552120d4556bc543612d7c5e629_61_2" hidden="1">'[1]Gráfico 66'!#REF!</definedName>
    <definedName name="TRNR_78868fea94554e5d88b1a0f0932a2ce5_282_26" hidden="1">#REF!</definedName>
    <definedName name="TRNR_7888a556ca1b41519bed726b21231e52_61_2" hidden="1">#REF!</definedName>
    <definedName name="TRNR_789117cfdc96478c96d774713073a002_61_2" hidden="1">#REF!</definedName>
    <definedName name="TRNR_7894e2ab812f4a1fa84a3af12db578a5_61_2" hidden="1">#REF!</definedName>
    <definedName name="TRNR_789952fa3aef48f4be8ac9fba2a26fcd_6186_4" hidden="1">#REF!</definedName>
    <definedName name="TRNR_78a1f5c216814c63aaee5b3b6de508ab_20_4" hidden="1">#REF!</definedName>
    <definedName name="TRNR_78aaea4aa2af41e78da2112148fcb08c_61_2" hidden="1">#REF!</definedName>
    <definedName name="TRNR_78b7583f15c94ed798b5d53528b47cee_50_2" hidden="1">#REF!</definedName>
    <definedName name="TRNR_78c4c6af6544412d95d5bc66e353d006_61_2" hidden="1">#REF!</definedName>
    <definedName name="TRNR_78cf6f9cc41146c0a47329afe337075f_90_18" hidden="1">#REF!</definedName>
    <definedName name="TRNR_78d99c91ad0a465fa8909416c6fe74aa_61_2" hidden="1">#REF!</definedName>
    <definedName name="TRNR_78db4599e2414ad9bc3458ac97201553_2023_6" hidden="1">#REF!</definedName>
    <definedName name="TRNR_78df01941e5643739b8cb2d2b2a37e60_61_2" hidden="1">#REF!</definedName>
    <definedName name="TRNR_78e2a52771434cc5994e51702ac25be9_61_6" hidden="1">#REF!</definedName>
    <definedName name="TRNR_78f3f56f44394a92830d8b0d77c95feb_61_2" hidden="1">#REF!</definedName>
    <definedName name="TRNR_78f9c031c5d44a9d8808567425d1ff42_5810_12" hidden="1">#REF!</definedName>
    <definedName name="TRNR_79002c96e1ec484b992784af148feee3_278_16" hidden="1">#REF!</definedName>
    <definedName name="TRNR_790561633cd34737aa57c52adfc0e00e_5940_6" hidden="1">#REF!</definedName>
    <definedName name="TRNR_790fbe434cda4f7387e9703c678a538b_5849_12" hidden="1">#REF!</definedName>
    <definedName name="TRNR_79123bf5c66349edb6702baa3287462a_61_2" hidden="1">#REF!</definedName>
    <definedName name="TRNR_7912b6829c19465b8e49ec343a4a544b_61_2" hidden="1">#REF!</definedName>
    <definedName name="TRNR_791b21c1c7444fbdbd590a582fbcc8f4_101_6" hidden="1">#REF!</definedName>
    <definedName name="TRNR_79315f09fd554156a2359e1b253608fb_30_1" hidden="1">#REF!</definedName>
    <definedName name="TRNR_794e75e11648408fa25576ac943d946b_103_4" hidden="1">#REF!</definedName>
    <definedName name="TRNR_7984f1c3d2eb43febd39e6e934d8259e_60_3" hidden="1">#REF!</definedName>
    <definedName name="TRNR_79954b12bbf74fb4b3b2b01180f8b41b_61_2" hidden="1">#REF!</definedName>
    <definedName name="TRNR_7998bb254016478a9641952164d08ef1_9_4" hidden="1">#REF!</definedName>
    <definedName name="TRNR_7999b0c243c94505a11474dd19dd7d88_276_6" hidden="1">#REF!</definedName>
    <definedName name="TRNR_79c753b97b744c9cbccc7689723349d6_108_3" hidden="1">#REF!</definedName>
    <definedName name="TRNR_79dc6770cf5e49b1817d0f24a08e7138_61_2" hidden="1">#REF!</definedName>
    <definedName name="TRNR_79f8971f80554af58a4608b6d29c018f_61_2" hidden="1">#REF!</definedName>
    <definedName name="TRNR_79faebd70435405981b83026acf635d7_20_4" hidden="1">#REF!</definedName>
    <definedName name="TRNR_7a06bf06a40147ffab89863a40b37c50_61_2" hidden="1">#REF!</definedName>
    <definedName name="TRNR_7a1e1dd34ca74431a844bfe00d237822_51_3" hidden="1">#REF!</definedName>
    <definedName name="TRNR_7a358512c8374d91a2cd361262ea06aa_56_3" hidden="1">#REF!</definedName>
    <definedName name="TRNR_7a3b31274ea54da694bf910735fe1ed0_61_2" hidden="1">#REF!</definedName>
    <definedName name="TRNR_7a4fb5990ef148e7b965fa34b7027e7e_6059_2" hidden="1">#REF!</definedName>
    <definedName name="TRNR_7a589d81ec0a43cca4a5a95e1c447d61_61_2" hidden="1">#REF!</definedName>
    <definedName name="TRNR_7a759596f07746d8b1d293873e785bb6_61_2" hidden="1">#REF!</definedName>
    <definedName name="TRNR_7a8a053c6d6b4645ab625f0822e86dc5_61_2" hidden="1">#REF!</definedName>
    <definedName name="TRNR_7a98a0a5082d4c49afa2756554be6b5b_61_2" hidden="1">'[1]Gráfico 66'!#REF!</definedName>
    <definedName name="TRNR_7a9f8db4f7764f9c9417f8a4e253096e_61_2" hidden="1">#REF!</definedName>
    <definedName name="TRNR_7ab1d13355214d6093c7744aba460636_85_4" hidden="1">#REF!</definedName>
    <definedName name="TRNR_7ab7243c4c5e4868b5c023f20c747128_61_2" hidden="1">#REF!</definedName>
    <definedName name="TRNR_7ac5a5506e7748198bec48844decbbab_61_2" hidden="1">#REF!</definedName>
    <definedName name="TRNR_7ac97089d7954505a2e7550d5359adda_61_2" hidden="1">#REF!</definedName>
    <definedName name="TRNR_7ac98592a5d64a4488e33a222240b749_55_3" hidden="1">#REF!</definedName>
    <definedName name="TRNR_7ad985217fc642f1876a627f3e00e7de_61_2" hidden="1">'[1]Gráfico 66'!#REF!</definedName>
    <definedName name="TRNR_7ae2f6bcd5db49bdadda0c0067e28c9a_19_9" hidden="1">#REF!</definedName>
    <definedName name="TRNR_7af97558a50f49cb906004a7d3a6894c_979_27" hidden="1">#REF!</definedName>
    <definedName name="TRNR_7aff7cdd5c2e4d86ab3c536eaacd29a0_61_2" hidden="1">#REF!</definedName>
    <definedName name="TRNR_7b12027fd03a4485b10045fb5c9059bc_61_2" hidden="1">#REF!</definedName>
    <definedName name="TRNR_7b14fc877312461f8d97718291f60b93_61_2" hidden="1">#REF!</definedName>
    <definedName name="TRNR_7b392489436e4270aef8d8fa2f5f1275_61_2" hidden="1">#REF!</definedName>
    <definedName name="TRNR_7b3a7f59f97748e69bf3dedcea45680d_3919_6" hidden="1">#REF!</definedName>
    <definedName name="TRNR_7b3d1b3a9239463083fb4a07d70c4fa8_5804_12" hidden="1">#REF!</definedName>
    <definedName name="TRNR_7b3f6062520a4e62b75aa76a904fcb65_61_2" hidden="1">#REF!</definedName>
    <definedName name="TRNR_7b4d6d11579547439e3d9a2b388e1405_61_2" hidden="1">#REF!</definedName>
    <definedName name="TRNR_7b5c112ee72c48049e6930051afe35a4_99_6" hidden="1">#REF!</definedName>
    <definedName name="TRNR_7b61ba0ceae84f2bbdc8b92e0ec9e7b2_61_2" hidden="1">#REF!</definedName>
    <definedName name="TRNR_7b66eb9f1b4b4a7eb5d5d1b0eaa33e09_61_2" hidden="1">#REF!</definedName>
    <definedName name="TRNR_7b776af860814101bb213f2dbbc0d234_61_2" hidden="1">#REF!</definedName>
    <definedName name="TRNR_7b8cd813c0e84602b5dc14975bf219cb_528_7" hidden="1">#REF!</definedName>
    <definedName name="TRNR_7bac661cef264ac28611b82056070a90_61_2" hidden="1">#REF!</definedName>
    <definedName name="TRNR_7bd1d042c661472884d8daf38b6b1049_61_2" hidden="1">#REF!</definedName>
    <definedName name="TRNR_7bd7591206ee4181aace7ff01ce99257_528_7" hidden="1">#REF!</definedName>
    <definedName name="TRNR_7bdbc8b9b7524f7aa537c60f5f14cb43_150_6" hidden="1">#REF!</definedName>
    <definedName name="TRNR_7be0cf8352ec491c83f48d4e8a5476d1_61_2" hidden="1">#REF!</definedName>
    <definedName name="TRNR_7be2764eb50944899174b8ea38a0f993_6267_4" hidden="1">#REF!</definedName>
    <definedName name="TRNR_7bf2fbb44230441b8cc3d129bc9d5e40_5844_6" hidden="1">#REF!</definedName>
    <definedName name="TRNR_7bf7e2f557f24a2b9db117ce23b11644_61_2" hidden="1">#REF!</definedName>
    <definedName name="TRNR_7c115e6f2f974ede98905a6737439a39_61_2" hidden="1">#REF!</definedName>
    <definedName name="TRNR_7c3432408f2344af98755e5ca99fd221_61_2" hidden="1">'[1]Gráfico 66'!#REF!</definedName>
    <definedName name="TRNR_7c4099bfc14546a8ae7c403d1e890224_61_2" hidden="1">#REF!</definedName>
    <definedName name="TRNR_7c4402b60c71472e88152cf435492f3f_61_2" hidden="1">#REF!</definedName>
    <definedName name="TRNR_7c4e0ee9135a4797b89ca1a726b7659c_61_2" hidden="1">#REF!</definedName>
    <definedName name="TRNR_7c88881828bd439fa24f47babf777769_1078_27" hidden="1">#REF!</definedName>
    <definedName name="TRNR_7c9544558dc04b1692ee6b7f5e6a7ce2_52_3" hidden="1">#REF!</definedName>
    <definedName name="TRNR_7c96bd427b1c416ab9e6ca72e9551d60_50_2" hidden="1">#REF!</definedName>
    <definedName name="TRNR_7c979bff5ad746b6bb1ed019496d0118_61_2" hidden="1">#REF!</definedName>
    <definedName name="TRNR_7cab6fa13ca54e99af4f367b213c6074_2023_6" hidden="1">#REF!</definedName>
    <definedName name="TRNR_7cb107c897b8457a998b012380474119_6251_4" hidden="1">#REF!</definedName>
    <definedName name="TRNR_7cbceadd98ed4e03bd9a8ca440193817_61_2" hidden="1">#REF!</definedName>
    <definedName name="TRNR_7cbeb1393e094bca80dddd4489f17bac_61_2" hidden="1">'[1]Gráfico 66'!#REF!</definedName>
    <definedName name="TRNR_7cc2e32ad6d54c80bd278fd64517a919_29_6" hidden="1">#REF!</definedName>
    <definedName name="TRNR_7cc484c847e24e04a211401e8f5a4a27_61_2" hidden="1">#REF!</definedName>
    <definedName name="TRNR_7cc6f9ede4284fa0927c8d3ed4768186_5834_4" hidden="1">#REF!</definedName>
    <definedName name="TRNR_7cc80bcc22444fceb69cb224a4979405_61_2" hidden="1">#REF!</definedName>
    <definedName name="TRNR_7cd2ab7446a14678a7a1d231b3535f97_25_6" hidden="1">#REF!</definedName>
    <definedName name="TRNR_7cd7a6b88e244fdbb777bd6010852f94_56_3" hidden="1">#REF!</definedName>
    <definedName name="TRNR_7ce777eb3096480391fd998fc7d3b6df_1520_4" hidden="1">#REF!</definedName>
    <definedName name="TRNR_7cedbbc844c54ebb84ffa84b8c8fdf3a_5858_12" hidden="1">#REF!</definedName>
    <definedName name="TRNR_7d1273a6266348d588c2dfa49f9371e3_528_6" hidden="1">#REF!</definedName>
    <definedName name="TRNR_7d19fd1fc4b34070a3b91436a5ae4d2e_61_2" hidden="1">#REF!</definedName>
    <definedName name="TRNR_7d44f7f5acfd45e982ba2e831e608753_61_2" hidden="1">#REF!</definedName>
    <definedName name="TRNR_7d73f60ed5494144b25196a89dfa4dc9_61_2" hidden="1">#REF!</definedName>
    <definedName name="TRNR_7d742b7af4c74e3d82a0c2aa673f4493_311_16" hidden="1">#REF!</definedName>
    <definedName name="TRNR_7d7cd7d3fbb542528bbd80ee648ee036_61_2" hidden="1">#REF!</definedName>
    <definedName name="TRNR_7d7f0513a5c94e409b1eba6db4fdd20b_61_2" hidden="1">#REF!</definedName>
    <definedName name="TRNR_7d95065a10564090937b44c290bbc91f_1170_25" hidden="1">#REF!</definedName>
    <definedName name="TRNR_7d9c2ef6ec4247a9aea4657659a8ef34_56_3" hidden="1">#REF!</definedName>
    <definedName name="TRNR_7da32225e38942e7b30797936d2ef432_61_2" hidden="1">#REF!</definedName>
    <definedName name="TRNR_7db05800e17c4c15a5cb437529ad2cb7_6143_6" hidden="1">#REF!</definedName>
    <definedName name="TRNR_7dc367b7411f4c3b9829988e20a370ee_61_2" hidden="1">#REF!</definedName>
    <definedName name="TRNR_7dcec1fe17f441bbaf408952178f00f4_5859_6" hidden="1">#REF!</definedName>
    <definedName name="TRNR_7dd4128da707496a8ff63202f9105326_6049_6" hidden="1">#REF!</definedName>
    <definedName name="TRNR_7dd868cb97d74fcaab8074eac263ef86_61_2" hidden="1">#REF!</definedName>
    <definedName name="TRNR_7de1c0461b814626834fb04f24579594_283_13" hidden="1">#REF!</definedName>
    <definedName name="TRNR_7de93423e9ac4aa68fac7c36a52a3faf_987_27" hidden="1">#REF!</definedName>
    <definedName name="TRNR_7de96e682fb74c3d922fc6f63fb7986b_61_2" hidden="1">#REF!</definedName>
    <definedName name="TRNR_7df8834ab1994d9c8461b7e811559a7b_62_130" hidden="1">#REF!</definedName>
    <definedName name="TRNR_7e05b870b4e447539358543cf15c02ef_61_2" hidden="1">#REF!</definedName>
    <definedName name="TRNR_7e2b69bae83d4c708a9ea9aaee4e4027_1017_27" hidden="1">#REF!</definedName>
    <definedName name="TRNR_7e36738f4bc74a2fb6311daef9ad06c5_528_7" hidden="1">#REF!</definedName>
    <definedName name="TRNR_7e403c998d684005a710cd3122553baa_2023_4" hidden="1">#REF!</definedName>
    <definedName name="TRNR_7e4390235d27462c8828d99121f02a17_6214_2" hidden="1">#REF!</definedName>
    <definedName name="TRNR_7e53f44d87294801b6bddc2fa4019383_61_2" hidden="1">#REF!</definedName>
    <definedName name="TRNR_7e5a1ece10f349a7baf4a76cac0ff190_6249_6" hidden="1">#REF!</definedName>
    <definedName name="TRNR_7e5cd65972034ebdbb100c43fed1f5ec_6143_6" hidden="1">#REF!</definedName>
    <definedName name="TRNR_7e6251368d2140d4b521f773fb8cee7a_61_2" hidden="1">#REF!</definedName>
    <definedName name="TRNR_7e717879ecd043069621325dfa688fa0_148_2" hidden="1">'[1]Gráfico 66'!#REF!</definedName>
    <definedName name="TRNR_7e92daad68294f328e9eeda98469dea2_5886_12" hidden="1">#REF!</definedName>
    <definedName name="TRNR_7e944dbb335f45659febb3d01b1b3b7d_61_2" hidden="1">#REF!</definedName>
    <definedName name="TRNR_7ea7bc5b8fee4743843b7085f0d48a6e_61_2" hidden="1">#REF!</definedName>
    <definedName name="TRNR_7eaa9d48c7e54aeabf5ba1fbbfb0f550_528_2" hidden="1">#REF!</definedName>
    <definedName name="TRNR_7eb868774356474b900836e126d41715_109_3" hidden="1">#REF!</definedName>
    <definedName name="TRNR_7ec1d42278ea412f969dcfdbb8873807_61_2" hidden="1">'[1]Gráfico 66'!#REF!</definedName>
    <definedName name="TRNR_7ed53fc598614c3ab6e48bc2a6068ea2_61_2" hidden="1">#REF!</definedName>
    <definedName name="TRNR_7ed598064f31423ab9a05f8f315b3493_61_2" hidden="1">#REF!</definedName>
    <definedName name="TRNR_7ed7f7c28e55406da8dfde5048b4c0fc_61_2" hidden="1">'[1]Gráfico 66'!#REF!</definedName>
    <definedName name="TRNR_7eeacfe0378c43e383c40b7bf3d8532e_61_2" hidden="1">#REF!</definedName>
    <definedName name="TRNR_7ef14734efb541a6870828b073250ea9_61_2" hidden="1">#REF!</definedName>
    <definedName name="TRNR_7f0819bfabac48a3a7250bc8a4fbfd24_61_2" hidden="1">#REF!</definedName>
    <definedName name="TRNR_7f0b140131304aab8274d647a8d48281_2088_6" hidden="1">#REF!</definedName>
    <definedName name="TRNR_7f2e65468456493ca04a674a7bc3244f_320_3" hidden="1">#REF!</definedName>
    <definedName name="TRNR_7f335cde306042a88bf434bb74a4851f_61_2" hidden="1">#REF!</definedName>
    <definedName name="TRNR_7f3d2a60e3ba46578e62a8c2ef0ffb29_525_1" hidden="1">#REF!</definedName>
    <definedName name="TRNR_7f446f7c8ab341e2b97f8db07c5f0d95_61_2" hidden="1">#REF!</definedName>
    <definedName name="TRNR_7f5437540fb248dca6988c17e2aa17d1_61_2" hidden="1">#REF!</definedName>
    <definedName name="TRNR_7f57b29de8094e1996f059e2d4ae4886_61_2" hidden="1">#REF!</definedName>
    <definedName name="TRNR_7f5b00e2edfa4340b7e6aebdebb0865a_61_2" hidden="1">#REF!</definedName>
    <definedName name="TRNR_7f6ade153cf742c3be95194eb8e121ba_523_1" hidden="1">#REF!</definedName>
    <definedName name="TRNR_7f6b4839f6924843b331ed3710e45e29_61_2" hidden="1">#REF!</definedName>
    <definedName name="TRNR_7f6cf9606b584321959675fc25820e4d_61_2" hidden="1">#REF!</definedName>
    <definedName name="TRNR_7f77436a094d4ab7afc35368728da6c1_6022_6" hidden="1">#REF!</definedName>
    <definedName name="TRNR_7f7be2144b174d9281232a62251db15a_61_2" hidden="1">#REF!</definedName>
    <definedName name="TRNR_7f846270430c4f92a186a6b8708f4646_61_2" hidden="1">#REF!</definedName>
    <definedName name="TRNR_7f947648ad2c4d889364870767fec5b5_6177_2" hidden="1">#REF!</definedName>
    <definedName name="TRNR_7fa17cd1739146a8a48b635c4bb2b020_61_2" hidden="1">#REF!</definedName>
    <definedName name="TRNR_7faad4d179be4d64b553c9ed42b7c2e8_2023_4" hidden="1">#REF!</definedName>
    <definedName name="TRNR_7facc36bb7ec421d94337469942bc86c_6123_4" hidden="1">#REF!</definedName>
    <definedName name="TRNR_7fbdc073b68544a6bfadd523c875f39f_61_2" hidden="1">#REF!</definedName>
    <definedName name="TRNR_7fccaa39256d45cea952b97f7af5befc_6030_6" hidden="1">#REF!</definedName>
    <definedName name="TRNR_7fd2f04c8a87458b8bcafa8dd693c65e_61_2" hidden="1">#REF!</definedName>
    <definedName name="TRNR_7fdda9e881764adfb0d0fd67529cdd95_2033_6" hidden="1">#REF!</definedName>
    <definedName name="TRNR_7fff957b104d40b9aa8b1cada0402afb_61_2" hidden="1">#REF!</definedName>
    <definedName name="TRNR_800592f5d9b64686a6c039af0b065f17_61_2" hidden="1">#REF!</definedName>
    <definedName name="TRNR_800f8e5dfcd741a3b107f832ac3d941a_284_26" hidden="1">#REF!</definedName>
    <definedName name="TRNR_80170d523db14acaa3f32c7539fcd691_61_2" hidden="1">#REF!</definedName>
    <definedName name="TRNR_801efc19457241d69635ba01d6c44dbc_61_2" hidden="1">#REF!</definedName>
    <definedName name="TRNR_802c78c0c3464e1daec58e3e23684751_309_3" hidden="1">#REF!</definedName>
    <definedName name="TRNR_802fd95f1ad04175b882db4c353f4b4e_61_2" hidden="1">#REF!</definedName>
    <definedName name="TRNR_80320ce8000a48338cb306362f9a527c_61_2" hidden="1">#REF!</definedName>
    <definedName name="TRNR_803ba68cd7434ad79c853be79c851847_20_3" hidden="1">#REF!</definedName>
    <definedName name="TRNR_803e8a53a3344e76b1f63dfe73b5458c_61_2" hidden="1">#REF!</definedName>
    <definedName name="TRNR_80412aadb85b47b4aaf3c2bfa4068fbb_6137_6" hidden="1">#REF!</definedName>
    <definedName name="TRNR_8041a6bcd97f4804b690040e54e31f80_61_2" hidden="1">#REF!</definedName>
    <definedName name="TRNR_804bc23519de4bbca4a43745fc715661_61_2" hidden="1">#REF!</definedName>
    <definedName name="TRNR_805c1f0e0dee4a8ba4fd672e24ae1145_5861_6" hidden="1">#REF!</definedName>
    <definedName name="TRNR_80758883adbb4c9eab0957a033acc7ed_1060_27" hidden="1">#REF!</definedName>
    <definedName name="TRNR_809485dbe968414c978a3249c085dcda_61_2" hidden="1">#REF!</definedName>
    <definedName name="TRNR_8096034eaa3f432b967fbf9016683712_0_0" hidden="1">#REF!</definedName>
    <definedName name="TRNR_809653a72bdf4b9c8cba7e3265d23b9a_283_6" hidden="1">#REF!</definedName>
    <definedName name="TRNR_809f147b6e2447639fbd2eb49c4bd686_61_2" hidden="1">#REF!</definedName>
    <definedName name="TRNR_80a3f7c4d107486e8714df10138c6ef5_61_2" hidden="1">#REF!</definedName>
    <definedName name="TRNR_80a406ad099e4ae5bebdf2a1e63bc2c0_10_7" hidden="1">#REF!</definedName>
    <definedName name="TRNR_80aa6953be684ca889f8a13b8aa1b182_99_6" hidden="1">#REF!</definedName>
    <definedName name="TRNR_80b676d8d9b044c98c79bdcb6fd45e92_2023_4" hidden="1">#REF!</definedName>
    <definedName name="TRNR_80bf3a918233486d9260b1127c7ee429_61_2" hidden="1">#REF!</definedName>
    <definedName name="TRNR_80c003f9d7a545d293e0fced2b69293d_61_2" hidden="1">#REF!</definedName>
    <definedName name="TRNR_80c463280ae84544ba4c5b64ea07ad57_3920_1" hidden="1">#REF!</definedName>
    <definedName name="TRNR_80d742a68d694a4593289f27221615de_61_2" hidden="1">#REF!</definedName>
    <definedName name="TRNR_80daebd871574ac09655ff5877af805f_61_2" hidden="1">#REF!</definedName>
    <definedName name="TRNR_80e5e7a95cce4643a9d6b242eb00051a_1306_1" hidden="1">#REF!</definedName>
    <definedName name="TRNR_80ef0c34a3a8402bba39bb68ad67d19f_61_2" hidden="1">#REF!</definedName>
    <definedName name="TRNR_80f6bc78870d46b7877a16ee31d7b071_61_2" hidden="1">#REF!</definedName>
    <definedName name="TRNR_810fa73f8f234ea9877b546e6ce7c9f5_61_2" hidden="1">#REF!</definedName>
    <definedName name="TRNR_8115aae92b4046658557cac9d2c79644_61_2" hidden="1">'[1]Gráfico 66'!#REF!</definedName>
    <definedName name="TRNR_8117fdf186554c38a16a7a79cad91202_61_2" hidden="1">#REF!</definedName>
    <definedName name="TRNR_812be9e9379d43b5a969401e729a3be8_61_2" hidden="1">#REF!</definedName>
    <definedName name="TRNR_81617b08bc1540ea87cfa9b5a9ac9daa_55_3" hidden="1">#REF!</definedName>
    <definedName name="TRNR_816ee83052c24222a228a99890b5b70b_61_2" hidden="1">#REF!</definedName>
    <definedName name="TRNR_8173ece38bc04b979bd59709ec43906f_61_2" hidden="1">#REF!</definedName>
    <definedName name="TRNR_8178891fb1404c098fbb03ad33ffcdbf_61_2" hidden="1">#REF!</definedName>
    <definedName name="TRNR_8186d79a06ef43ba82d8d3d667977b52_61_2" hidden="1">'[1]Gráfico 66'!#REF!</definedName>
    <definedName name="TRNR_81af0dd340374bb39aaba33106f63150_6267_2" hidden="1">#REF!</definedName>
    <definedName name="TRNR_81c641267da546cb83a30be2fc7ddb38_61_2" hidden="1">#REF!</definedName>
    <definedName name="TRNR_81cad807ffc44ccd8eb0b2ad7ec88f58_61_2" hidden="1">#REF!</definedName>
    <definedName name="TRNR_81ce383238874c35961f494c85c9b91f_5_6" hidden="1">#REF!</definedName>
    <definedName name="TRNR_81e2d76dbaa148d4822274deec91674d_61_2" hidden="1">#REF!</definedName>
    <definedName name="TRNR_820043b070de47ada8238b58e20b8d88_61_2" hidden="1">#REF!</definedName>
    <definedName name="TRNR_820226e5af8844fa9cd782a4d2f24ac6_61_2" hidden="1">#REF!</definedName>
    <definedName name="TRNR_82089d43a7604260a9a9db0f52ae943c_61_2" hidden="1">#REF!</definedName>
    <definedName name="TRNR_821b1a7499034968be16481745f5a822_276_6" hidden="1">#REF!</definedName>
    <definedName name="TRNR_822fcd550bf542dcaa5d4eeae1127f3a_527_6" hidden="1">#REF!</definedName>
    <definedName name="TRNR_8232288a138248fbb0322dedb0683aec_5986_6" hidden="1">#REF!</definedName>
    <definedName name="TRNR_8237233e8b834867a4f98c0f3a34400d_61_2" hidden="1">#REF!</definedName>
    <definedName name="TRNR_824ac04301e14400a8a5677c3ebe793c_977_28" hidden="1">#REF!</definedName>
    <definedName name="TRNR_8252794fba9243f988cb7f5cd6b0992c_1076_27" hidden="1">#REF!</definedName>
    <definedName name="TRNR_826c91d5978f460d9ac87dd3a2e0a0a6_285_26" hidden="1">#REF!</definedName>
    <definedName name="TRNR_826ffb56b8104e7cbe78d06badf4aea5_528_7" hidden="1">#REF!</definedName>
    <definedName name="TRNR_8278b361dbe04315a2f846b492fd8c7f_527_7" hidden="1">#REF!</definedName>
    <definedName name="TRNR_827c8d0710d74e8e9ddb92829ad5d489_277_7" hidden="1">#REF!</definedName>
    <definedName name="TRNR_827e5b252b444fc3a3c135aaf9104173_61_2" hidden="1">#REF!</definedName>
    <definedName name="TRNR_828433ca4686488ea71d595be0970818_6177_2" hidden="1">#REF!</definedName>
    <definedName name="TRNR_829e8e93f1c048a88827c2759f484dee_61_2" hidden="1">#REF!</definedName>
    <definedName name="TRNR_82a4d9d44cef42158c0be454b047f743_5992_6" hidden="1">#REF!</definedName>
    <definedName name="TRNR_82a5f9c9f3ce4646860c17a4958dd8ee_282_4" hidden="1">'[1]Gráfico 66'!#REF!</definedName>
    <definedName name="TRNR_82b26e7655cc4637baed3ff6237e78a1_61_2" hidden="1">#REF!</definedName>
    <definedName name="TRNR_82c41a74c5ac475aa399d92da1a9c969_10_4" hidden="1">#REF!</definedName>
    <definedName name="TRNR_82ccda828445424fbb28faf424b4bc0f_322_16" hidden="1">#REF!</definedName>
    <definedName name="TRNR_82cf6cf015f149c98655cfb03986efd0_5831_12" hidden="1">#REF!</definedName>
    <definedName name="TRNR_82d6bfe40c2240f6af63bfc12e625731_61_2" hidden="1">#REF!</definedName>
    <definedName name="TRNR_82fecd942a214426a1aa27e1789f77e8_285_13" hidden="1">#REF!</definedName>
    <definedName name="TRNR_83034b3060ff4abdbe2e8cb69a71c96c_527_4" hidden="1">#REF!</definedName>
    <definedName name="TRNR_8314cafd0ca14e219ffa5c50211cba89_8_10" hidden="1">#REF!</definedName>
    <definedName name="TRNR_831e0be5153b4b0ba7688ae4935653ed_528_7" hidden="1">#REF!</definedName>
    <definedName name="TRNR_833094d7b47c42b4bd0411d25b777bb0_61_2" hidden="1">#REF!</definedName>
    <definedName name="TRNR_834bd83df6a341c3b9373a22d077073d_6230_2" hidden="1">#REF!</definedName>
    <definedName name="TRNR_8350a3a0c71548f892c1231b7ef963e8_109_3" hidden="1">#REF!</definedName>
    <definedName name="TRNR_83664905747547f990bf67b7524915e4_61_2" hidden="1">'[1]Gráfico 66'!#REF!</definedName>
    <definedName name="TRNR_83677f9133cd41d4a96aa6eb5502727b_61_2" hidden="1">#REF!</definedName>
    <definedName name="TRNR_836c80b4cd5e4afda51bca6ab5736f3a_61_2" hidden="1">#REF!</definedName>
    <definedName name="TRNR_836e5be48b344c8a965691127cfb061d_108_3" hidden="1">#REF!</definedName>
    <definedName name="TRNR_8376b70862b041288d8fb42f795539e1_61_2" hidden="1">#REF!</definedName>
    <definedName name="TRNR_8378e370f168491a991ba7daf777ab65_99_6" hidden="1">#REF!</definedName>
    <definedName name="TRNR_8382e0ca045944cea5f950ecc5889b49_319_10" hidden="1">#REF!</definedName>
    <definedName name="TRNR_839090ab2b104534a06a08d7a6c4af9d_5757_12" hidden="1">#REF!</definedName>
    <definedName name="TRNR_83972a2557d347b6ae0e6baf3d38a803_311_16" hidden="1">#REF!</definedName>
    <definedName name="TRNR_839bf6dd603841178563c27221c69142_61_2" hidden="1">#REF!</definedName>
    <definedName name="TRNR_83adccca7c10438d8e240aecd1226c38_62_295" hidden="1">#REF!</definedName>
    <definedName name="TRNR_83ae3ac11f1f40b997c218e092f09d17_61_11" hidden="1">#REF!</definedName>
    <definedName name="TRNR_83ae578331454a0fbd25d0514c71a036_61_2" hidden="1">#REF!</definedName>
    <definedName name="TRNR_83b88caacb2b47ae9eee6f6d27305431_525_10" hidden="1">#REF!</definedName>
    <definedName name="TRNR_83ba2a2d3d0b4320bcacdced3ec566cc_61_2" hidden="1">#REF!</definedName>
    <definedName name="TRNR_83cb242fa4524dd5849f38e7cef692cc_999_27" hidden="1">#REF!</definedName>
    <definedName name="TRNR_83e62ceab4424ede9c84160b9f8ab683_61_2" hidden="1">#REF!</definedName>
    <definedName name="TRNR_83fe9d46dba24dc8b0eb6c8b4b2e304d_61_2" hidden="1">#REF!</definedName>
    <definedName name="TRNR_8402889671e0496285c3fdcdf2a7ab03_6267_2" hidden="1">#REF!</definedName>
    <definedName name="TRNR_841ad831ca01437892ee707d7a42d13b_61_2" hidden="1">#REF!</definedName>
    <definedName name="TRNR_8425d62d180247d7b773e3ab00dacf65_61_2" hidden="1">#REF!</definedName>
    <definedName name="TRNR_842ed7572f4745718a9f4c1b9e6afa05_2051_6" hidden="1">#REF!</definedName>
    <definedName name="TRNR_84364cb75df04b4892e7976609bb4943_61_2" hidden="1">#REF!</definedName>
    <definedName name="TRNR_8437a2fc9f6c4c0dbdc5492d27626130_61_11" hidden="1">#REF!</definedName>
    <definedName name="TRNR_8439b84faf3e47d1834b202c803cb40e_52_50" hidden="1">#REF!</definedName>
    <definedName name="TRNR_844c52e9c40c47bca74747239c52b9fe_20_3" hidden="1">#REF!</definedName>
    <definedName name="TRNR_8479794fc877495c99f30ae4706e7e85_1042_27" hidden="1">#REF!</definedName>
    <definedName name="TRNR_84822ed2f2644bfeade43916e4ea01e9_61_2" hidden="1">#REF!</definedName>
    <definedName name="TRNR_8482864135cc4233be0c394fbad4484d_61_2" hidden="1">#REF!</definedName>
    <definedName name="TRNR_848bcc8552eb48fea5646579b097ed53_61_2" hidden="1">#REF!</definedName>
    <definedName name="TRNR_84b061db042d498f8023fa57b28c6bc4_5833_6" hidden="1">#REF!</definedName>
    <definedName name="TRNR_84b8238237844f70a44bffea87e435f4_61_2" hidden="1">#REF!</definedName>
    <definedName name="TRNR_84c98abb313a4aa08884cc8bac71cf17_528_6" hidden="1">#REF!</definedName>
    <definedName name="TRNR_84d134bce8574996942992f3717e6884_61_2" hidden="1">#REF!</definedName>
    <definedName name="TRNR_84d24d42988844bb9b75f0003edd342d_61_2" hidden="1">#REF!</definedName>
    <definedName name="TRNR_852b5bb2b5e942e7b9ce67df5516c2e4_61_2" hidden="1">#REF!</definedName>
    <definedName name="TRNR_852db0ab3f204fc687015cf357d0072c_50_2" hidden="1">#REF!</definedName>
    <definedName name="TRNR_8536fb2b0fdc45dbb634527bf37da937_20_4" hidden="1">#REF!</definedName>
    <definedName name="TRNR_853c006331e041f391ab8f12da6c3a9a_61_2" hidden="1">#REF!</definedName>
    <definedName name="TRNR_8547cdd7ad424429b75ebb7653d5d8fd_524_1" hidden="1">#REF!</definedName>
    <definedName name="TRNR_85573fe5e78341ab96a0d6cd24312846_24_2" hidden="1">#REF!</definedName>
    <definedName name="TRNR_8557ebba942549a988bab082f5e50e90_61_2" hidden="1">#REF!</definedName>
    <definedName name="TRNR_856b4c8989de4e5780b1125660c24768_61_2" hidden="1">#REF!</definedName>
    <definedName name="TRNR_8575d8c8b0cf4e19ba2cb242dd758aae_61_2" hidden="1">#REF!</definedName>
    <definedName name="TRNR_857835ca19d9473d9a03fa42e5bfb2d9_55_1" hidden="1">#REF!</definedName>
    <definedName name="TRNR_8584c3f5ffdf4c3482ef5a6b65b3c9f3_61_2" hidden="1">#REF!</definedName>
    <definedName name="TRNR_858890452660496b8e95e400044377d6_61_2" hidden="1">#REF!</definedName>
    <definedName name="TRNR_858ecea49fd940179bb1bee0c674bea1_61_2" hidden="1">#REF!</definedName>
    <definedName name="TRNR_85912e73813448168dafe30344dedc93_61_2" hidden="1">#REF!</definedName>
    <definedName name="TRNR_859fc7aa7b82493895b1b6d84743852a_108_3" hidden="1">#REF!</definedName>
    <definedName name="TRNR_85a7c27d40cb471b93e4a1209adc936b_61_2" hidden="1">#REF!</definedName>
    <definedName name="TRNR_85ac975dc5b545d1adb64ad0fe87bb0c_4_1" hidden="1">#REF!</definedName>
    <definedName name="TRNR_85d1f1ac21d44ab6bcc2c4bf9c1fbd50_61_2" hidden="1">#REF!</definedName>
    <definedName name="TRNR_85ec7fb4d3f4477ca0bc126b3f5eff73_61_2" hidden="1">#REF!</definedName>
    <definedName name="TRNR_85f24f3385e147ceac4b3576b91fb8aa_61_2" hidden="1">#REF!</definedName>
    <definedName name="TRNR_85fc2ed770aa4499b64b5a6a20155c7a_61_2" hidden="1">#REF!</definedName>
    <definedName name="TRNR_860187b165c94120b3b3c57c5f4f6114_61_2" hidden="1">#REF!</definedName>
    <definedName name="TRNR_8604d9f8294a4821a0d11c1ed3656e88_61_2" hidden="1">#REF!</definedName>
    <definedName name="TRNR_860e53c60110444c8651ed7acd4c607e_61_2" hidden="1">#REF!</definedName>
    <definedName name="TRNR_861eed19cc5b4dc083237f6ee9623895_61_2" hidden="1">#REF!</definedName>
    <definedName name="TRNR_8624f93c2729435ea0231035222cb921_61_2" hidden="1">#REF!</definedName>
    <definedName name="TRNR_862c2d3d1b9d4254bf8c9f8be5ba30b8_61_2" hidden="1">#REF!</definedName>
    <definedName name="TRNR_862f14ce676546cf9b283b151d864338_61_2" hidden="1">#REF!</definedName>
    <definedName name="TRNR_863190c6259b4e4aa7e025e3bab09129_6200_2" hidden="1">#REF!</definedName>
    <definedName name="TRNR_8659948deec44265ba1bd98374f31868_61_2" hidden="1">#REF!</definedName>
    <definedName name="TRNR_866032409d0149e1b99081d0a59bda03_102_6" hidden="1">#REF!</definedName>
    <definedName name="TRNR_86665455b2bd4d2f8654543cc16680be_61_2" hidden="1">#REF!</definedName>
    <definedName name="TRNR_8670179dad9a422a8a6b3a8434e69c9a_289_3" hidden="1">#REF!</definedName>
    <definedName name="TRNR_86898d0f0bb2465bacabf0b6c430dbbc_61_2" hidden="1">#REF!</definedName>
    <definedName name="TRNR_868d8b6d60ce4ce281e5abf411fea87d_61_2" hidden="1">#REF!</definedName>
    <definedName name="TRNR_86ac2cc416b346e39c40bdd4e7f95c63_61_2" hidden="1">#REF!</definedName>
    <definedName name="TRNR_86b27c3156ef4e0ba24c88b7edc32097_61_2" hidden="1">#REF!</definedName>
    <definedName name="TRNR_86b69e06349e4d21a7adaa7faaa93336_2082_6" hidden="1">#REF!</definedName>
    <definedName name="TRNR_86b968ca1827423086ec91909aa35cc6_52_6" hidden="1">#REF!</definedName>
    <definedName name="TRNR_86c2617623734282a7ba49c168500fd0_61_2" hidden="1">#REF!</definedName>
    <definedName name="TRNR_86d4922f83934dcd99306b883ef92bb0_61_2" hidden="1">#REF!</definedName>
    <definedName name="TRNR_86edd1ff176f4ff4844b43d8c4508d5f_61_2" hidden="1">#REF!</definedName>
    <definedName name="TRNR_86f4733c2bb04f97b76781adda3667ab_61_2" hidden="1">#REF!</definedName>
    <definedName name="TRNR_86f7c3b55d2249e58b522a92f6ed3793_61_2" hidden="1">#REF!</definedName>
    <definedName name="TRNR_87170aab59524e808013775a965a155f_61_2" hidden="1">#REF!</definedName>
    <definedName name="TRNR_87246e934186474f81f5adae867a38e4_21_9" hidden="1">#REF!</definedName>
    <definedName name="TRNR_87291abb1dc34751bae1de7998b75f5a_61_2" hidden="1">#REF!</definedName>
    <definedName name="TRNR_87342eea2c87487c83263eafaeb440c6_61_2" hidden="1">#REF!</definedName>
    <definedName name="TRNR_8738141e86f94218b2a45654ae6b9a72_61_2" hidden="1">#REF!</definedName>
    <definedName name="TRNR_8744c34d8c0d430dac4adf38342dd1d7_21_9" hidden="1">#REF!</definedName>
    <definedName name="TRNR_87567c9d94444bf78ed85ea6f203edbe_6116_4" hidden="1">#REF!</definedName>
    <definedName name="TRNR_876e183a10a446d892417a35f1e56894_61_2" hidden="1">#REF!</definedName>
    <definedName name="TRNR_87757fa0bb8d4a2eb131a95d946de18b_54_3" hidden="1">#REF!</definedName>
    <definedName name="TRNR_877b9deac2ea41318bad38906a516c3b_6143_2" hidden="1">#REF!</definedName>
    <definedName name="TRNR_877dd0f2a75e4f4bb7f0507aca687015_61_2" hidden="1">#REF!</definedName>
    <definedName name="TRNR_87c36f8c956e489aaa8a58dfdb2f7608_50_3" hidden="1">#REF!</definedName>
    <definedName name="TRNR_87c8a41fef2943b88d83a6f7b8d4c8d7_104_6" hidden="1">#REF!</definedName>
    <definedName name="TRNR_87cbca2106ee4aed831593dd72693401_977_25" hidden="1">#REF!</definedName>
    <definedName name="TRNR_87d85ac69f57427c8e574d8fe967a8ee_6108_2" hidden="1">#REF!</definedName>
    <definedName name="TRNR_87db9d61cdff48afac14c14c2e617117_528_7" hidden="1">#REF!</definedName>
    <definedName name="TRNR_87e3aec731bc4691a4eb48105104040d_28_2" hidden="1">#REF!</definedName>
    <definedName name="TRNR_87e63f95544d45aca68aad0e2c1fee16_523_1" hidden="1">#REF!</definedName>
    <definedName name="TRNR_87f0d8ffec9c4f5c880cda4dbb798abf_5997_6" hidden="1">#REF!</definedName>
    <definedName name="TRNR_87f88e6cde1c4161b29f44fffa2522b3_61_2" hidden="1">#REF!</definedName>
    <definedName name="TRNR_87f9c63ec57c4230ac305a0af04b023d_6034_6" hidden="1">#REF!</definedName>
    <definedName name="TRNR_880693c8637d40d69d5023294a5025d5_61_5" hidden="1">#REF!</definedName>
    <definedName name="TRNR_8807a72749dc4f34abf0a10a9a5fa595_61_2" hidden="1">#REF!</definedName>
    <definedName name="TRNR_8819c013a15a4c6f8aa3fe758e0698e0_1170_27" hidden="1">#REF!</definedName>
    <definedName name="TRNR_881f8bb9d41c460b93f314c5c69cb1a5_61_2" hidden="1">#REF!</definedName>
    <definedName name="TRNR_883c3072ebda4b94a62e86316425e26b_99_10" hidden="1">#REF!</definedName>
    <definedName name="TRNR_88541be67b3242c5bb0e3abdcc4f1fd0_5827_12" hidden="1">#REF!</definedName>
    <definedName name="TRNR_88597ebe41c0405ea9b0bb9e11f58ca4_5746_1" hidden="1">#REF!</definedName>
    <definedName name="TRNR_8879e5fb5d59417ba6ebb0b1c3ee07d3_6066_6" hidden="1">#REF!</definedName>
    <definedName name="TRNR_8880ea8577614ffeb839b391cc123c0e_6139_4" hidden="1">#REF!</definedName>
    <definedName name="TRNR_888dd8f2f9694d7b96d430328fad4f46_1815_6" hidden="1">#REF!</definedName>
    <definedName name="TRNR_889e8ba3fcea49099f71d90039127a26_61_2" hidden="1">#REF!</definedName>
    <definedName name="TRNR_88b35f74058b40ee98fa0d961ef52bf2_285_6" hidden="1">#REF!</definedName>
    <definedName name="TRNR_88b754e3cb5444a78dd2aa12b86788d5_61_2" hidden="1">#REF!</definedName>
    <definedName name="TRNR_88b7a7e6a83e4631a5861e157df0c2b2_5855_6" hidden="1">#REF!</definedName>
    <definedName name="TRNR_88c3e316dee04753a1b95ff1debe9d8d_61_2" hidden="1">#REF!</definedName>
    <definedName name="TRNR_88c7f884a1134ac18dfda45303a74e78_61_2" hidden="1">#REF!</definedName>
    <definedName name="TRNR_88d7a3574ecb4a8f8c0c37256d7b4dfc_528_6" hidden="1">#REF!</definedName>
    <definedName name="TRNR_88dce14e433f45ee9ee4627108a0f808_61_2" hidden="1">#REF!</definedName>
    <definedName name="TRNR_88ddf5348541428ab9adc323225122ac_61_2" hidden="1">'[1]Gráfico 66'!#REF!</definedName>
    <definedName name="TRNR_88e898f40a9549429208f42b3128da93_61_2" hidden="1">#REF!</definedName>
    <definedName name="TRNR_88edc7306e634b48834268f4d0b3315e_61_2" hidden="1">#REF!</definedName>
    <definedName name="TRNR_88f1f6757cb64370a75d70a85b45ba9f_61_2" hidden="1">#REF!</definedName>
    <definedName name="TRNR_88f4020635bf49f9a9b792920156a35c_21_9" hidden="1">#REF!</definedName>
    <definedName name="TRNR_89201ddf2bd44f48a8e5959b5519c9cd_61_2" hidden="1">#REF!</definedName>
    <definedName name="TRNR_89284b9b3bd84a1591b390f1cbcb6c65_61_2" hidden="1">'[1]Gráfico 66'!#REF!</definedName>
    <definedName name="TRNR_892e36b5ae594ea18a64b9bf0b8a371d_528_6" hidden="1">#REF!</definedName>
    <definedName name="TRNR_893e3c1d039d41e9a542ac51a332cc1e_61_2" hidden="1">#REF!</definedName>
    <definedName name="TRNR_8944208ba3a5424f8f64dfe345c47358_26_50" hidden="1">#REF!</definedName>
    <definedName name="TRNR_8952af3338714a0e9e0d120c365ef608_61_2" hidden="1">#REF!</definedName>
    <definedName name="TRNR_89718dc114f84165a6c133a42cf3140f_61_2" hidden="1">#REF!</definedName>
    <definedName name="TRNR_897ddecaa2584b499ac123fdd47240dd_61_2" hidden="1">#REF!</definedName>
    <definedName name="TRNR_898a206057b84c5487917e87b1bfac6c_61_2" hidden="1">#REF!</definedName>
    <definedName name="TRNR_898f2025055d4b24bf3b6490b2e5c80a_61_2" hidden="1">#REF!</definedName>
    <definedName name="TRNR_899c372f7b4a488382ae913c2f3af030_61_2" hidden="1">#REF!</definedName>
    <definedName name="TRNR_89aba644513d437f9f46b58f1f044f48_61_2" hidden="1">#REF!</definedName>
    <definedName name="TRNR_89ba62e65e41455da9d65d72e81db788_62_11" hidden="1">#REF!</definedName>
    <definedName name="TRNR_89bfb8100d934c23862511ebcc93f62e_61_2" hidden="1">#REF!</definedName>
    <definedName name="TRNR_89c9cc7cf4084905995fc57207c9bc8e_5811_4" hidden="1">#REF!</definedName>
    <definedName name="TRNR_89cf6891ccc043b1b1312595308c3b8f_61_2" hidden="1">#REF!</definedName>
    <definedName name="TRNR_8a02b2ce822f4ae2b124251232bc0365_61_2" hidden="1">#REF!</definedName>
    <definedName name="TRNR_8a03ddb691c54b3fa66795d1497570ae_525_1" hidden="1">#REF!</definedName>
    <definedName name="TRNR_8a077e9d4f054d659715be0612354250_61_2" hidden="1">#REF!</definedName>
    <definedName name="TRNR_8a2664da133b45a487df177a45e5bf2e_120_3" hidden="1">#REF!</definedName>
    <definedName name="TRNR_8a320339f8cb478cbb3cdd66f5a200b7_5809_6" hidden="1">#REF!</definedName>
    <definedName name="TRNR_8a384152c24f49f08567b875370507f1_61_2" hidden="1">#REF!</definedName>
    <definedName name="TRNR_8a3fcdb668c14345af1e5115994f4191_61_2" hidden="1">#REF!</definedName>
    <definedName name="TRNR_8a488ee8079643dda94eff5cf3358214_61_2" hidden="1">#REF!</definedName>
    <definedName name="TRNR_8a490b8223a34ca8bad1e149de057d21_1072_27" hidden="1">#REF!</definedName>
    <definedName name="TRNR_8a4a88510b29463285f20da7157c2285_61_2" hidden="1">#REF!</definedName>
    <definedName name="TRNR_8a4db20c6f6d488f893945b2e9d9a2d6_524_1" hidden="1">#REF!</definedName>
    <definedName name="TRNR_8a5ad1038d124816b79f2710618730f9_5_2" hidden="1">#REF!</definedName>
    <definedName name="TRNR_8a5e48c15b004ffc9aba93a3fe719ccb_192_4" hidden="1">#REF!</definedName>
    <definedName name="TRNR_8a6764064445402db29f7a3816cc847b_61_2" hidden="1">#REF!</definedName>
    <definedName name="TRNR_8a6c3803b9e648dfba2935baefad65ea_5957_6" hidden="1">#REF!</definedName>
    <definedName name="TRNR_8a80f5c92b1b48b698f26a068f92fc77_61_2" hidden="1">#REF!</definedName>
    <definedName name="TRNR_8a941fc966e945438b1ffcaaf0002b43_61_2" hidden="1">#REF!</definedName>
    <definedName name="TRNR_8a94b00ddb78473a8468c668ce7f5949_61_2" hidden="1">#REF!</definedName>
    <definedName name="TRNR_8aca64a498da436abc8bfbb310cb6449_52_37" hidden="1">#REF!</definedName>
    <definedName name="TRNR_8accf21d4d3346528172469ba430831b_977_1" hidden="1">#REF!</definedName>
    <definedName name="TRNR_8aecc52222754c3391f161b90dfd35a1_61_2" hidden="1">#REF!</definedName>
    <definedName name="TRNR_8b213b05181142fe9999f59294f5b3e2_61_2" hidden="1">#REF!</definedName>
    <definedName name="TRNR_8b279760e90c4c2fb0de27cf8f447ce1_20_4" hidden="1">#REF!</definedName>
    <definedName name="TRNR_8b28814caa7b435d8a0ffe3231996629_61_2" hidden="1">#REF!</definedName>
    <definedName name="TRNR_8b4cf0b5063c40069070484b66a097ff_61_2" hidden="1">#REF!</definedName>
    <definedName name="TRNR_8b6127f2e55b4910a5c7417794f8a605_61_2" hidden="1">#REF!</definedName>
    <definedName name="TRNR_8b70d56f56ef446691a5188bfeb7ef15_61_2" hidden="1">#REF!</definedName>
    <definedName name="TRNR_8b7a9c3e48594e0fa38dff3aea23f997_528_6" hidden="1">#REF!</definedName>
    <definedName name="TRNR_8b80f2f894dd446787ee8101c5220ab8_6055_2" hidden="1">#REF!</definedName>
    <definedName name="TRNR_8b9730636cdb4caea8303c47139a49a6_100_6" hidden="1">#REF!</definedName>
    <definedName name="TRNR_8b99bb08d0f145e98005504f58df837e_61_2" hidden="1">#REF!</definedName>
    <definedName name="TRNR_8ba3a71e3df94ccc9f3de52f558812ea_61_2" hidden="1">#REF!</definedName>
    <definedName name="TRNR_8bbdac6018e44aa287dc134e4ecb8dfa_61_2" hidden="1">#REF!</definedName>
    <definedName name="TRNR_8bbea49b7ddf4dafbc34724d31c98581_61_2" hidden="1">#REF!</definedName>
    <definedName name="TRNR_8bc953233b9f45c5beb6c7c3fb298f5e_61_2" hidden="1">#REF!</definedName>
    <definedName name="TRNR_8bfa399800d5435ca14130ff78a43ebc_2028_6" hidden="1">#REF!</definedName>
    <definedName name="TRNR_8bfa51703deb47f4b56708a47f8c6962_90_9" hidden="1">#REF!</definedName>
    <definedName name="TRNR_8c0d013e6fbd47cfb2e23c53eb5fa0b2_61_2" hidden="1">#REF!</definedName>
    <definedName name="TRNR_8c0f1f94b0664c1483792d0ce6e7a27e_524_2" hidden="1">#REF!</definedName>
    <definedName name="TRNR_8c184b5e0ecc406cbbff9fc2abeaff13_138_2" hidden="1">#REF!</definedName>
    <definedName name="TRNR_8c18ddab809b4099a937875c5e57d900_50_3" hidden="1">#REF!</definedName>
    <definedName name="TRNR_8c42326105804f6b9667f7c2c107e8f4_61_2" hidden="1">#REF!</definedName>
    <definedName name="TRNR_8c442f87e6d7421ebc33e603e8d286d7_61_2" hidden="1">#REF!</definedName>
    <definedName name="TRNR_8c48c3cfcf8d4bd7aea9450f81c7ea61_1307_1" hidden="1">#REF!</definedName>
    <definedName name="TRNR_8c547fa981ca4dd681fa95fde5d367ef_74_3" hidden="1">#REF!</definedName>
    <definedName name="TRNR_8c5673455f7e4e3097300a7440eb2329_525_10" hidden="1">#REF!</definedName>
    <definedName name="TRNR_8c5bb243bbb342fd9f8e685b814414b8_1027_27" hidden="1">#REF!</definedName>
    <definedName name="TRNR_8c79aafbe0384873bcee8ecb3b3effcd_61_2" hidden="1">#REF!</definedName>
    <definedName name="TRNR_8c7a3c475d1f40a5a29718ca62afbb89_61_2" hidden="1">#REF!</definedName>
    <definedName name="TRNR_8c7a492da2654bd9a81043914a2f3109_528_2" hidden="1">#REF!</definedName>
    <definedName name="TRNR_8c86dcecfcc24e32b187d1cb8c3b796e_61_2" hidden="1">#REF!</definedName>
    <definedName name="TRNR_8c8b6df9d6a747dc93f33a5aa2a84d18_1062_27" hidden="1">#REF!</definedName>
    <definedName name="TRNR_8c91586ff64f496e941b10625dd4336f_4682_2" hidden="1">#REF!</definedName>
    <definedName name="TRNR_8c979022c4494bb680bf0980c3b716cc_138_3" hidden="1">#REF!</definedName>
    <definedName name="TRNR_8c9ab609244e4d409032a910bee0cb1a_61_2" hidden="1">#REF!</definedName>
    <definedName name="TRNR_8c9d1332587f4caa96c170ce12815591_977_2" hidden="1">#REF!</definedName>
    <definedName name="TRNR_8ca183d824d747b299670e2cde818760_61_2" hidden="1">#REF!</definedName>
    <definedName name="TRNR_8ca6174ed03e45a0bf35f109f9dbd655_285_26" hidden="1">#REF!</definedName>
    <definedName name="TRNR_8cad0b03a2b84429a8e7bac2eda1f7ab_528_7" hidden="1">#REF!</definedName>
    <definedName name="TRNR_8caff04d639d488e87d505fb84098813_54_3" hidden="1">#REF!</definedName>
    <definedName name="TRNR_8cc12b651e8a47ce945fcbc1d614679c_20_4" hidden="1">#REF!</definedName>
    <definedName name="TRNR_8cc40bce922e483d838384bac2e5a845_1870_7" hidden="1">#REF!</definedName>
    <definedName name="TRNR_8cc6611dac0d4ec68757b0b8c4194ebb_977_11" hidden="1">#REF!</definedName>
    <definedName name="TRNR_8ce668d1db32478fa2d126116f9b76ba_61_2" hidden="1">#REF!</definedName>
    <definedName name="TRNR_8d03279d93b54459b8400294d2ca11a7_277_6" hidden="1">#REF!</definedName>
    <definedName name="TRNR_8d039ff69d8c4d03b1b6c60a96c9c3ae_6336_2" hidden="1">#REF!</definedName>
    <definedName name="TRNR_8d05ce47f3954da2b6fa292479dbd182_61_11" hidden="1">#REF!</definedName>
    <definedName name="TRNR_8d1d87addc0f4356a6b980c0b1e6e8b1_5934_6" hidden="1">#REF!</definedName>
    <definedName name="TRNR_8d1f6e9cb4694b3f826b645f278486fb_61_2" hidden="1">#REF!</definedName>
    <definedName name="TRNR_8d2def0ea5d445fe8c2a64ccea64223c_61_2" hidden="1">#REF!</definedName>
    <definedName name="TRNR_8d3ba6e849cb4bc3aab35059a3b648ab_20_4" hidden="1">#REF!</definedName>
    <definedName name="TRNR_8d46c54be13e4905887f7e0a4617b427_61_2" hidden="1">#REF!</definedName>
    <definedName name="TRNR_8d47248da13040a99612ae5502e9fdc7_61_2" hidden="1">#REF!</definedName>
    <definedName name="TRNR_8d62d44903184300b4be98be8c66127a_61_2" hidden="1">#REF!</definedName>
    <definedName name="TRNR_8d6eb14443e0480a9e42415ba554bb24_20_4" hidden="1">#REF!</definedName>
    <definedName name="TRNR_8d76cc08ccb14ef6b6d41be227ce2e20_61_2" hidden="1">#REF!</definedName>
    <definedName name="TRNR_8d84048ad1cc4de583f79c0bc9e84659_61_2" hidden="1">#REF!</definedName>
    <definedName name="TRNR_8d954964922840fd8aeea12d9ad0b94c_61_2" hidden="1">#REF!</definedName>
    <definedName name="TRNR_8d971e3589614de6bf2795654533f9df_61_2" hidden="1">#REF!</definedName>
    <definedName name="TRNR_8d9b7997895c4c24a70585a5e2cf82ae_61_2" hidden="1">#REF!</definedName>
    <definedName name="TRNR_8de03737330b4f3baf0746cb525986ca_527_7" hidden="1">#REF!</definedName>
    <definedName name="TRNR_8de2949943784103abf6e3166bc8e230_61_2" hidden="1">#REF!</definedName>
    <definedName name="TRNR_8de2ad85070e4ccea2ff671babecefca_61_2" hidden="1">'[1]Gráfico 66'!#REF!</definedName>
    <definedName name="TRNR_8de55bb424f548f0a506273f2c9edcfa_524_10" hidden="1">#REF!</definedName>
    <definedName name="TRNR_8dea745b14d944c79f9c205df516e1a5_6137_2" hidden="1">#REF!</definedName>
    <definedName name="TRNR_8dec33c8b264473d9b620643aa0244da_20_4" hidden="1">#REF!</definedName>
    <definedName name="TRNR_8def864d7be84e41ae33c0ad898ecdd3_61_2" hidden="1">#REF!</definedName>
    <definedName name="TRNR_8e00520c866747c3821bf8f1ec6ad9e7_61_2" hidden="1">#REF!</definedName>
    <definedName name="TRNR_8e0dccfc329b458abb2f7f3a8f819d62_61_2" hidden="1">#REF!</definedName>
    <definedName name="TRNR_8e0e7342048e471181a04601e90c5280_2135_6" hidden="1">#REF!</definedName>
    <definedName name="TRNR_8e1745ade3b145dcbd6a2b7c92f1e941_50_2" hidden="1">#REF!</definedName>
    <definedName name="TRNR_8e68e781ea8d44abb6f9dedc5f69d6f8_48_1" hidden="1">#REF!</definedName>
    <definedName name="TRNR_8e6b2c9ac3f5420a95fcc67296de27cc_61_2" hidden="1">#REF!</definedName>
    <definedName name="TRNR_8e6e02f3569e409a9530e5ed2453a4ba_61_2" hidden="1">#REF!</definedName>
    <definedName name="TRNR_8e73605ff08a4f06b61b57999803b02a_326_16" hidden="1">#REF!</definedName>
    <definedName name="TRNR_8e8049a2678e4398bef3a64c41300496_61_2" hidden="1">#REF!</definedName>
    <definedName name="TRNR_8e9bab6d5c054766b526c9f387fcf75a_61_2" hidden="1">#REF!</definedName>
    <definedName name="TRNR_8e9d86f84a5448b1ab468cd91d858259_102_6" hidden="1">#REF!</definedName>
    <definedName name="TRNR_8ec770a0f9164b6e8c9830c7348096cf_49_20" hidden="1">#REF!</definedName>
    <definedName name="TRNR_8eccfd15950248d1bab4c34369fec50a_10_7" hidden="1">#REF!</definedName>
    <definedName name="TRNR_8ed4982bed68464cb68c6840fa04f50e_5812_12" hidden="1">#REF!</definedName>
    <definedName name="TRNR_8ede74c75db64cf58fc98e6abd8ea796_108_4" hidden="1">#REF!</definedName>
    <definedName name="TRNR_8efb7af4eb634f03afd93704c1296b8e_977_14" hidden="1">#REF!</definedName>
    <definedName name="TRNR_8f0a03b2fae44270a84ba2bbe7285883_527_6" hidden="1">#REF!</definedName>
    <definedName name="TRNR_8f144379d9624567b97d592fd774f257_73_11" hidden="1">#REF!</definedName>
    <definedName name="TRNR_8f1d904c50bd4d4aaa0fda5df70afd5a_61_2" hidden="1">#REF!</definedName>
    <definedName name="TRNR_8f2829acd1134dd2af88a7f92753b959_6122_6" hidden="1">#REF!</definedName>
    <definedName name="TRNR_8f2f5499022f44e6bb187601c24004e3_61_2" hidden="1">#REF!</definedName>
    <definedName name="TRNR_8f34b346bef74c038970c9555ea40517_61_2" hidden="1">#REF!</definedName>
    <definedName name="TRNR_8f3ac3143afb4160919f6b5c6566bd78_61_2" hidden="1">#REF!</definedName>
    <definedName name="TRNR_8f5081b2270341848ee1885c4228f804_287_6" hidden="1">#REF!</definedName>
    <definedName name="TRNR_8f52d81d82d14db9b18930dac8823a9c_61_2" hidden="1">#REF!</definedName>
    <definedName name="TRNR_8f57527a2e5a4577be141d0d1dc1ddf8_61_2" hidden="1">#REF!</definedName>
    <definedName name="TRNR_8f5d893b38cb49cb9700aa929a9aa166_5903_6" hidden="1">#REF!</definedName>
    <definedName name="TRNR_8f7e2d0fc44446cd85aabdefcde7cf56_5954_6" hidden="1">#REF!</definedName>
    <definedName name="TRNR_8f81fed730fb47c6a4e805473ac221fb_528_6" hidden="1">#REF!</definedName>
    <definedName name="TRNR_8f8907233e9941ab9d2de5dc077ae67e_61_2" hidden="1">#REF!</definedName>
    <definedName name="TRNR_8f8a2df93a4b4609a5928e2081ce80fe_61_11" hidden="1">#REF!</definedName>
    <definedName name="TRNR_8f9158dafcdd4f33ac3c33ed540ad921_61_2" hidden="1">#REF!</definedName>
    <definedName name="TRNR_8fa3da70e85b4a8991c00c5cbf97d547_61_2" hidden="1">#REF!</definedName>
    <definedName name="TRNR_8fbed75dc78e4329848b0f8f6a967581_61_2" hidden="1">#REF!</definedName>
    <definedName name="TRNR_8fd3500ff502492990478ae178679be4_290_2" hidden="1">#REF!</definedName>
    <definedName name="TRNR_8ffa06eed72d436f884521ff2f4638b5_61_2" hidden="1">#REF!</definedName>
    <definedName name="TRNR_8ffa57d6841f40bea20fd2d42ed08635_92_6" hidden="1">#REF!</definedName>
    <definedName name="TRNR_8fffc12f62aa41689c4cd7b5438c51f5_55_3" hidden="1">#REF!</definedName>
    <definedName name="TRNR_9002ae758c654e64a144e701c22eb792_61_2" hidden="1">#REF!</definedName>
    <definedName name="TRNR_90075d352f454ca38f46e9f35b640553_61_2" hidden="1">#REF!</definedName>
    <definedName name="TRNR_900f875f068946bfbe09c2b8b832be04_1010_27" hidden="1">#REF!</definedName>
    <definedName name="TRNR_90213b502a8f413197cc35c0ac2b8e48_61_2" hidden="1">#REF!</definedName>
    <definedName name="TRNR_902917a7407f46a8a0c97645e9e285db_61_2" hidden="1">#REF!</definedName>
    <definedName name="TRNR_903e8335e57a42ed850a5b18d1eab0ff_61_2" hidden="1">#REF!</definedName>
    <definedName name="TRNR_905233c673c7486dbbd77d117008af47_276_6" hidden="1">#REF!</definedName>
    <definedName name="TRNR_905d3d355e5a4e9fb9ca5427050b4d8a_61_2" hidden="1">#REF!</definedName>
    <definedName name="TRNR_9064ffdf3e304ec0947f4d9bc56ceb7e_61_2" hidden="1">#REF!</definedName>
    <definedName name="TRNR_9065765f91454b36943b6cd7488ea536_52_3" hidden="1">#REF!</definedName>
    <definedName name="TRNR_906b52e3e6044aea917c6c75659d9628_61_2" hidden="1">#REF!</definedName>
    <definedName name="TRNR_90ad09e069674098860014278b57cf5d_61_2" hidden="1">#REF!</definedName>
    <definedName name="TRNR_90b1fa3480534fbf8a142d493318f7ca_25_6" hidden="1">#REF!</definedName>
    <definedName name="TRNR_90b28254e05545359fba715907d9eba7_61_2" hidden="1">#REF!</definedName>
    <definedName name="TRNR_90c411f42c1c4f1cb2d0a595732a8c4d_61_2" hidden="1">#REF!</definedName>
    <definedName name="TRNR_90c90c6e87204583861a1ae04cb3d75c_61_2" hidden="1">#REF!</definedName>
    <definedName name="TRNR_90f2f6e8c27c4f8cb46b14e536c3cf9b_61_2" hidden="1">#REF!</definedName>
    <definedName name="TRNR_90f8dd6a8fb34ad2baeeb112cae71ace_5188_9" hidden="1">#REF!</definedName>
    <definedName name="TRNR_90f9b85f9bbd4515b23ebd0a277c2188_54_3" hidden="1">#REF!</definedName>
    <definedName name="TRNR_90fb14b2aa14499182e1723f9e6788c5_4_2" hidden="1">#REF!</definedName>
    <definedName name="TRNR_9107ef1c9a644f349411185c76431e1b_528_7" hidden="1">#REF!</definedName>
    <definedName name="TRNR_9112547753b54e4493626115ee573472_61_2" hidden="1">#REF!</definedName>
    <definedName name="TRNR_9116c41f8c574959a00b9cf8a59d0292_61_2" hidden="1">#REF!</definedName>
    <definedName name="TRNR_912ffffe07f745899dc0de25ceece98f_61_2" hidden="1">#REF!</definedName>
    <definedName name="TRNR_9130df28ee1d4704b6a042bf8b0fc013_61_2" hidden="1">#REF!</definedName>
    <definedName name="TRNR_91325775dcfa456ca910194f8a3123a7_528_6" hidden="1">#REF!</definedName>
    <definedName name="TRNR_913462543ed941d9853ed63d443b7e3b_237_2" hidden="1">'[1]Gráfico 66'!#REF!</definedName>
    <definedName name="TRNR_91691baf96c949e88ee96b7a5a219601_61_2" hidden="1">#REF!</definedName>
    <definedName name="TRNR_917dc1db981a4bb68558bb406336f49d_61_2" hidden="1">#REF!</definedName>
    <definedName name="TRNR_9196a5d3407e4fc28998f14d546857ef_61_2" hidden="1">#REF!</definedName>
    <definedName name="TRNR_919ce608f7b944e38bf5620da60e2a5f_55_3" hidden="1">#REF!</definedName>
    <definedName name="TRNR_919f2a4343ae4972a6322388f6676b62_61_2" hidden="1">#REF!</definedName>
    <definedName name="TRNR_91a60e1a38c94158a2cb198f688334ce_61_2" hidden="1">#REF!</definedName>
    <definedName name="TRNR_91a70e8f7e134ef7be82f14a8de2fd3c_528_2" hidden="1">#REF!</definedName>
    <definedName name="TRNR_91be3db6447746858d786bfd959edc2b_61_2" hidden="1">#REF!</definedName>
    <definedName name="TRNR_91c8a5e013784e248f79854ed4027d9e_525_10" hidden="1">#REF!</definedName>
    <definedName name="TRNR_91c93d94c274494e98592624993816e9_61_2" hidden="1">#REF!</definedName>
    <definedName name="TRNR_91cd846d8e274f79bfd646dde024207a_5937_6" hidden="1">#REF!</definedName>
    <definedName name="TRNR_91d7b7ebd0c24a578019cda725145ec6_61_2" hidden="1">#REF!</definedName>
    <definedName name="TRNR_91df4e1cf7e549caab8ba8401b039fc3_525_10" hidden="1">#REF!</definedName>
    <definedName name="TRNR_91ea59fdc9f54461b657a3b426e267fd_5876_4" hidden="1">#REF!</definedName>
    <definedName name="TRNR_91ef1faf60f646b3860d70f1f6d5c697_283_6" hidden="1">#REF!</definedName>
    <definedName name="TRNR_91f6fbcfb01548bf8257b06d8b5ab00f_61_2" hidden="1">#REF!</definedName>
    <definedName name="TRNR_920ca74952d446c88db0957f3528d041_5977_6" hidden="1">#REF!</definedName>
    <definedName name="TRNR_921390f5ce1a40e3a8a99b8f199e5241_61_2" hidden="1">#REF!</definedName>
    <definedName name="TRNR_921aa0a3cdc04983a6f66a061ff17550_61_2" hidden="1">#REF!</definedName>
    <definedName name="TRNR_92255ac0327044989ebd694e27b167d9_527_7" hidden="1">#REF!</definedName>
    <definedName name="TRNR_922b8dae1b264ba39377a3e535a28da6_528_7" hidden="1">#REF!</definedName>
    <definedName name="TRNR_92308cf701dd4efc9ecb1a8fe0afaa7c_61_2" hidden="1">#REF!</definedName>
    <definedName name="TRNR_924812e0d16c4d87adbb0f41ea6704d0_977_23" hidden="1">#REF!</definedName>
    <definedName name="TRNR_924c435dc1d94fa8b876289ce219069a_61_2" hidden="1">#REF!</definedName>
    <definedName name="TRNR_924d28a73f11407486fd1c5e63539ed4_61_2" hidden="1">#REF!</definedName>
    <definedName name="TRNR_927554cb72f547d28cb17c99e7186122_523_1" hidden="1">#REF!</definedName>
    <definedName name="TRNR_92777160ee74459ea6fb4ac9cbddcb63_61_2" hidden="1">#REF!</definedName>
    <definedName name="TRNR_927ee49001874efaa52e6376191945b7_102_6" hidden="1">#REF!</definedName>
    <definedName name="TRNR_928b79535b8241269f133e8fcabb56f2_61_2" hidden="1">#REF!</definedName>
    <definedName name="TRNR_928e9b2b616849bc8dcef0eea135b845_61_2" hidden="1">#REF!</definedName>
    <definedName name="TRNR_9295cc0507c140f3a0060842f0048294_528_7" hidden="1">#REF!</definedName>
    <definedName name="TRNR_92a2067a39de418686bae2229bbb458f_138_3" hidden="1">#REF!</definedName>
    <definedName name="TRNR_92a8c1b8ca234bc6a8280d95976d33cb_102_6" hidden="1">#REF!</definedName>
    <definedName name="TRNR_92b0f58f55eb417c8477c60ca67db63d_5858_6" hidden="1">#REF!</definedName>
    <definedName name="TRNR_92b75deb15684e7cadca06d69346e97a_61_2" hidden="1">'[1]Gráfico 66'!#REF!</definedName>
    <definedName name="TRNR_92ce5f5879db413dbd15201f901e05b7_62_11" hidden="1">#REF!</definedName>
    <definedName name="TRNR_92d749a03e6d4dc28bf9db9e9965d961_61_2" hidden="1">#REF!</definedName>
    <definedName name="TRNR_92d8118c525948ee85c8e26334914172_286_13" hidden="1">#REF!</definedName>
    <definedName name="TRNR_92d898a3de344ec78c99cd830a18c192_61_2" hidden="1">#REF!</definedName>
    <definedName name="TRNR_92da8ef091324f33a2415b28cbe16582_6029_6" hidden="1">#REF!</definedName>
    <definedName name="TRNR_92e362ed58aa4807a2a8e8438c03a580_61_2" hidden="1">#REF!</definedName>
    <definedName name="TRNR_92e3ada795a54a50b07be2ca1de7ce85_62_11" hidden="1">#REF!</definedName>
    <definedName name="TRNR_92e58087af3d470ebbca8765f232d3a3_61_2" hidden="1">#REF!</definedName>
    <definedName name="TRNR_92e6b8acceec4d95878e548099b074cf_61_2" hidden="1">#REF!</definedName>
    <definedName name="TRNR_92e8c8b887614c87953609975aa992d9_962_4" hidden="1">#REF!</definedName>
    <definedName name="TRNR_92f5cb02368e4f958353bbe29da924e6_61_2" hidden="1">#REF!</definedName>
    <definedName name="TRNR_92fca0c0bd7e45eabca486b08b9cd610_61_2" hidden="1">#REF!</definedName>
    <definedName name="TRNR_93081fdcfa0c44f5ade5d6213ade90b5_1179_27" hidden="1">#REF!</definedName>
    <definedName name="TRNR_9329f2b6092a4816a6bb0fc6421a1dee_5825_12" hidden="1">#REF!</definedName>
    <definedName name="TRNR_93344307f4ba4cdc82b753d33045f043_61_2" hidden="1">#REF!</definedName>
    <definedName name="TRNR_9335819a11404040818f3c48bea23f27_61_2" hidden="1">#REF!</definedName>
    <definedName name="TRNR_9338ba19b91c4d5bad54f44799ec544b_61_2" hidden="1">#REF!</definedName>
    <definedName name="TRNR_933cd6096b1b44b780669d5f8b22193c_109_3" hidden="1">#REF!</definedName>
    <definedName name="TRNR_934137ad38654185a16fc0cfb55c65a8_61_2" hidden="1">#REF!</definedName>
    <definedName name="TRNR_934d21093d4549dba275166908527207_61_2" hidden="1">#REF!</definedName>
    <definedName name="TRNR_934d2ceabc0d4441b4333e97c298f406_285_2" hidden="1">#REF!</definedName>
    <definedName name="TRNR_93545e2eae67473487c427f0e6c56a39_6045_7" hidden="1">#REF!</definedName>
    <definedName name="TRNR_93581b1c398345d18dde9a8371449e39_53_3" hidden="1">#REF!</definedName>
    <definedName name="TRNR_935e084dc1114313a30309fe5d8ccd20_25_1" hidden="1">#REF!</definedName>
    <definedName name="TRNR_9361113707e84d499e0ffba5f1b4236a_101_6" hidden="1">#REF!</definedName>
    <definedName name="TRNR_936c8af503c441968896ab80ea8d8b3f_61_2" hidden="1">#REF!</definedName>
    <definedName name="TRNR_93a119c0e2534c45b73611b11fbb32ce_61_2" hidden="1">#REF!</definedName>
    <definedName name="TRNR_93ade45adaa546df9f9f5fffa068aee8_61_2" hidden="1">#REF!</definedName>
    <definedName name="TRNR_93bc349714d64b8c8534c8c0a913684e_61_2" hidden="1">#REF!</definedName>
    <definedName name="TRNR_93c202d43d0348c891463162b15d10a1_2103_6" hidden="1">#REF!</definedName>
    <definedName name="TRNR_93d1aeb5e30649ddaf164dd2a8a922f3_61_2" hidden="1">'[1]Gráfico 66'!#REF!</definedName>
    <definedName name="TRNR_93d576f7cd0344f6881cd68769de3520_61_2" hidden="1">#REF!</definedName>
    <definedName name="TRNR_93e1c31f3192421cac20a16fc0f8adad_1192_27" hidden="1">#REF!</definedName>
    <definedName name="TRNR_93e2982a88f74340ab8922e425b9f64a_528_7" hidden="1">#REF!</definedName>
    <definedName name="TRNR_93ea2b3e9da145a08898ecec06e2375d_61_2" hidden="1">#REF!</definedName>
    <definedName name="TRNR_93ffd9502c2d4380a94c4dc038a5f341_62_295" hidden="1">#REF!</definedName>
    <definedName name="TRNR_9407069198f84b8dae1f3204a4fa0610_108_7" hidden="1">#REF!</definedName>
    <definedName name="TRNR_9407f92e8bbc421488ac77a65cc15d54_61_2" hidden="1">#REF!</definedName>
    <definedName name="TRNR_9416fdc4054b4f7b81d3fda822488903_61_2" hidden="1">#REF!</definedName>
    <definedName name="TRNR_941d237296964acb88f6c71bcd23e576_61_2" hidden="1">#REF!</definedName>
    <definedName name="TRNR_941f6dc6d8d643709736b680fc1e21bf_52_6" hidden="1">#REF!</definedName>
    <definedName name="TRNR_94253859069c4ec2b19c87cb78c968de_61_2" hidden="1">#REF!</definedName>
    <definedName name="TRNR_943c36de36334ca19e546f60f7dcf504_2039_6" hidden="1">#REF!</definedName>
    <definedName name="TRNR_943f3ba930a74facadd8f5500d6739d8_61_2" hidden="1">#REF!</definedName>
    <definedName name="TRNR_9453cca23e324e4886b110cdbbcab59f_5847_3" hidden="1">#REF!</definedName>
    <definedName name="TRNR_945538c247b6483db589f676fd80a5a5_104_6" hidden="1">#REF!</definedName>
    <definedName name="TRNR_94568f6d19804177b44b165fbb5642e7_61_2" hidden="1">#REF!</definedName>
    <definedName name="TRNR_94675ac4a0e441f69c73d4fd6c033f35_61_2" hidden="1">#REF!</definedName>
    <definedName name="TRNR_946809cdbbf04908bbe9ac34688c4653_50_2" hidden="1">#REF!</definedName>
    <definedName name="TRNR_94694a5d0339437f991b5a44ccb7de41_525_2" hidden="1">#REF!</definedName>
    <definedName name="TRNR_9469dbf23a2f49a18ec1aedc6c614746_2023_6" hidden="1">#REF!</definedName>
    <definedName name="TRNR_946c58721cda4a8eb067375f50ff3760_61_2" hidden="1">#REF!</definedName>
    <definedName name="TRNR_94726f4eff454c84977507d45b2db252_61_2" hidden="1">#REF!</definedName>
    <definedName name="TRNR_949ddfb147044fa48db0ba19282d3a01_101_6" hidden="1">#REF!</definedName>
    <definedName name="TRNR_94aa13625c20464aab9623d726d913c9_61_2" hidden="1">#REF!</definedName>
    <definedName name="TRNR_94c821f24008407cb0def97d6b1074ce_61_2" hidden="1">#REF!</definedName>
    <definedName name="TRNR_94cdc8cc1c2648d8a996318453fe15e9_5858_12" hidden="1">#REF!</definedName>
    <definedName name="TRNR_94cf4c9ec52a4531a30611650608db24_61_2" hidden="1">'[1]Gráfico 66'!#REF!</definedName>
    <definedName name="TRNR_94d3d6ce276a4970a7f832a5c79324a1_61_2" hidden="1">'[1]Gráfico 66'!#REF!</definedName>
    <definedName name="TRNR_94d960044a0643d6ad1413926c40ac9f_61_2" hidden="1">#REF!</definedName>
    <definedName name="TRNR_94da6909f3d5451d9b3d6a67632ae2a4_28_1" hidden="1">'[1]Gráfico 66'!#REF!</definedName>
    <definedName name="TRNR_94e68676cb4a40ed811fcf3c15f8a764_325_16" hidden="1">#REF!</definedName>
    <definedName name="TRNR_94ebc69bf1be4952b4e4f2d0fe270005_528_7" hidden="1">#REF!</definedName>
    <definedName name="TRNR_94fbdceb942240058dfad03b4f8de18d_51_3" hidden="1">#REF!</definedName>
    <definedName name="TRNR_9507b377d1184fc0b733d0335fbeb73f_61_2" hidden="1">'[1]Gráfico 66'!#REF!</definedName>
    <definedName name="TRNR_950b3d25ef734170a3e718a52392878e_1009_27" hidden="1">#REF!</definedName>
    <definedName name="TRNR_950f2a09cd06482eb1b3074a155fe66b_61_2" hidden="1">#REF!</definedName>
    <definedName name="TRNR_952544f17a534555b06a868c0bdee4fb_61_2" hidden="1">#REF!</definedName>
    <definedName name="TRNR_952addd1686c4f46906ea39ea79a8de8_6045_7" hidden="1">#REF!</definedName>
    <definedName name="TRNR_9530ff5ffa2e43e491744d3094a33bc8_6510_1" hidden="1">#REF!</definedName>
    <definedName name="TRNR_953434f4f23d4b588ec2ae914ba45925_61_2" hidden="1">#REF!</definedName>
    <definedName name="TRNR_9539c3593b0f4eef9b57280fad19e86f_61_2" hidden="1">#REF!</definedName>
    <definedName name="TRNR_953cea4790a94ac8a02c43673a348003_61_2" hidden="1">#REF!</definedName>
    <definedName name="TRNR_954c19461b9f40a7a48dda70785a2c26_107_5" hidden="1">#REF!</definedName>
    <definedName name="TRNR_9569c885e7a34fafba0846bf572133ac_61_2" hidden="1">#REF!</definedName>
    <definedName name="TRNR_956f1005aa3c4bafbd51ca7b7ad9a5aa_61_2" hidden="1">#REF!</definedName>
    <definedName name="TRNR_9571e33d9418472594afa61d4c695d8a_61_2" hidden="1">#REF!</definedName>
    <definedName name="TRNR_95851819d4b94aa8bcb8282d8ce86bdd_61_2" hidden="1">#REF!</definedName>
    <definedName name="TRNR_9597076108334887a790d2353164b699_61_2" hidden="1">#REF!</definedName>
    <definedName name="TRNR_959967783fbd4a3fb2971887f63a9d9b_108_3" hidden="1">#REF!</definedName>
    <definedName name="TRNR_95a91a58bbeb4ecaa111a4c6233186b6_61_2" hidden="1">#REF!</definedName>
    <definedName name="TRNR_95ad78271baa4772a4695266eaff6478_5811_6" hidden="1">#REF!</definedName>
    <definedName name="TRNR_95cadd20cf454262832082e38fa473e2_61_2" hidden="1">#REF!</definedName>
    <definedName name="TRNR_95d88966a8b4447683bc09209b3ab5d6_525_10" hidden="1">#REF!</definedName>
    <definedName name="TRNR_95dcf7f459ca4da59181fb7c8e2fa046_282_18" hidden="1">#REF!</definedName>
    <definedName name="TRNR_95ddd7436a1749a7ba00e156d3773ff5_61_2" hidden="1">#REF!</definedName>
    <definedName name="TRNR_95f722becc3d4fc387bb202547e9f254_61_2" hidden="1">#REF!</definedName>
    <definedName name="TRNR_95fbe1de4154499aadd8aafcd9a7ee97_61_6" hidden="1">#REF!</definedName>
    <definedName name="TRNR_96198279a7cc45aeac4514f0439fc2a6_61_2" hidden="1">#REF!</definedName>
    <definedName name="TRNR_9623e37058fa413ea799686718d1bfc2_61_2" hidden="1">#REF!</definedName>
    <definedName name="TRNR_963e93244d6f4e5f89efe19ab8e14287_61_2" hidden="1">#REF!</definedName>
    <definedName name="TRNR_965941503b1e4cecbb94c6907d510a49_61_2" hidden="1">#REF!</definedName>
    <definedName name="TRNR_965c5e1df5df43838a4941213814e464_61_2" hidden="1">#REF!</definedName>
    <definedName name="TRNR_9660d784ff28451dbc41381d4911f2ae_61_2" hidden="1">#REF!</definedName>
    <definedName name="TRNR_9680064f68ec4a67961e518fc963d003_5848_6" hidden="1">#REF!</definedName>
    <definedName name="TRNR_9686c90f37bc48ba81a3cbfafb13b2d0_525_10" hidden="1">#REF!</definedName>
    <definedName name="TRNR_969136a72abc4930a4e2974fa82fd78e_6249_4" hidden="1">#REF!</definedName>
    <definedName name="TRNR_96a072dd2e9042628619fee99b2e2e79_2035_6" hidden="1">#REF!</definedName>
    <definedName name="TRNR_96c17047135e4e5797c41274d88c5358_61_2" hidden="1">#REF!</definedName>
    <definedName name="TRNR_96c47997cf8844eba92c64b121be14c3_0_0" hidden="1">#REF!</definedName>
    <definedName name="TRNR_96e2e8dc9d2549c297bd49cba5d0f78a_2128_6" hidden="1">#REF!</definedName>
    <definedName name="TRNR_96e6f70ba37b4b3eaedaead532404acc_61_2" hidden="1">'[1]Gráfico 66'!#REF!</definedName>
    <definedName name="TRNR_96eafe78aa9c4a03afabb1f951384ad4_61_2" hidden="1">#REF!</definedName>
    <definedName name="TRNR_96f79739de3842a086946d4d7059a9f1_1092_27" hidden="1">#REF!</definedName>
    <definedName name="TRNR_96fbbd95d8be44e2a1ca2d9f84adf978_74_11" hidden="1">#REF!</definedName>
    <definedName name="TRNR_96fcb21b330f4514952aaf2179958b2c_61_2" hidden="1">#REF!</definedName>
    <definedName name="TRNR_970dcab614f04bdf851a347ee61289f5_61_2" hidden="1">#REF!</definedName>
    <definedName name="TRNR_9715d677844e4542a6679f0bb5610aba_61_2" hidden="1">#REF!</definedName>
    <definedName name="TRNR_971b65dc9a984fdfaf3dec90f85f6e87_103_6" hidden="1">#REF!</definedName>
    <definedName name="TRNR_971ef428f5ea4d1bb570c5fe96842089_19_9" hidden="1">#REF!</definedName>
    <definedName name="TRNR_972ec3540f1945e8b529040b4f1a885a_25_1" hidden="1">#REF!</definedName>
    <definedName name="TRNR_974bcba093f8492289e86b6379eac82a_5865_6" hidden="1">#REF!</definedName>
    <definedName name="TRNR_975ab0b855204a2eb9170d36ace16aaf_527_6" hidden="1">#REF!</definedName>
    <definedName name="TRNR_975c2f94aa064b5593a05f98c142ccee_61_2" hidden="1">#REF!</definedName>
    <definedName name="TRNR_97613b58717847e9bef36c7e1bd9c5fa_283_13" hidden="1">#REF!</definedName>
    <definedName name="TRNR_97617cc6e2354b97aae971fd3cfc9b6a_61_2" hidden="1">#REF!</definedName>
    <definedName name="TRNR_97669568f90f4ea1b0408643f6dfc5a3_10_3" hidden="1">#REF!</definedName>
    <definedName name="TRNR_97684752d9a049998f210f57d781d629_61_2" hidden="1">#REF!</definedName>
    <definedName name="TRNR_97747e077ce94465acd8a1f4384c87af_61_2" hidden="1">#REF!</definedName>
    <definedName name="TRNR_9797328eb338483786e67b9f0d2299e4_61_2" hidden="1">#REF!</definedName>
    <definedName name="TRNR_97977042da4247738042440ee0fb7bec_61_2" hidden="1">#REF!</definedName>
    <definedName name="TRNR_9798e0813ae7489889b90e354b3e457d_5849_6" hidden="1">#REF!</definedName>
    <definedName name="TRNR_97a928769d1c42d8bd2f0032482247e1_61_2" hidden="1">#REF!</definedName>
    <definedName name="TRNR_97ad9bf8418e401b8f074e1b07d1c22e_61_2" hidden="1">#REF!</definedName>
    <definedName name="TRNR_97b85eedd8854b9480984d115121a3bc_61_2" hidden="1">#REF!</definedName>
    <definedName name="TRNR_97c25f6bfbf54a479cd879ff27b19895_61_2" hidden="1">#REF!</definedName>
    <definedName name="TRNR_97c40c166b994aacb87bd9b2bee38254_527_6" hidden="1">#REF!</definedName>
    <definedName name="TRNR_97dc054d01444ede866996d078991a8a_6013_4" hidden="1">#REF!</definedName>
    <definedName name="TRNR_97e6f605c192459b8125a9f1f75df292_61_2" hidden="1">#REF!</definedName>
    <definedName name="TRNR_97faf0c3659c42c6ba45cfc3ea20fd38_61_2" hidden="1">#REF!</definedName>
    <definedName name="TRNR_97fe9e6eb10a4373bc56a975502ba879_5857_6" hidden="1">#REF!</definedName>
    <definedName name="TRNR_982c388b1e5a4ba5afd6d40c94fcb184_301_3" hidden="1">#REF!</definedName>
    <definedName name="TRNR_9832b5527a6a4fd890403493cf01b6d0_2_1" hidden="1">#REF!</definedName>
    <definedName name="TRNR_9835e740a2a446ea831644cd0f61ea6b_61_2" hidden="1">#REF!</definedName>
    <definedName name="TRNR_984c893ea4414a2998cbb380f745e4c8_61_2" hidden="1">#REF!</definedName>
    <definedName name="TRNR_984eea16478147f98f37207ce65cf7d7_61_2" hidden="1">#REF!</definedName>
    <definedName name="TRNR_9853cb5ffc444d35b7018d2bf895c610_61_2" hidden="1">#REF!</definedName>
    <definedName name="TRNR_9859ee7a31b04269b126d9b78a165934_61_2" hidden="1">#REF!</definedName>
    <definedName name="TRNR_9861f16038b54372941ff49447b6e464_61_2" hidden="1">#REF!</definedName>
    <definedName name="TRNR_986b015d6676435c9e0961b0897f4e7d_61_2" hidden="1">#REF!</definedName>
    <definedName name="TRNR_988277df4abf46ee97b0d708b6addf8e_61_2" hidden="1">#REF!</definedName>
    <definedName name="TRNR_988ed21da11840fabb2aae0e5d847756_2018_3" hidden="1">#REF!</definedName>
    <definedName name="TRNR_98966069e1b14d89bf94f0c4e0a7fc2a_5858_4" hidden="1">#REF!</definedName>
    <definedName name="TRNR_98a3ccb6477d484e8bc1ec1ab7c85d03_61_2" hidden="1">#REF!</definedName>
    <definedName name="TRNR_98bc74b33a9a44b589f26a9a4b521fd3_1050_2" hidden="1">#REF!</definedName>
    <definedName name="TRNR_98c7c6f142b04a7da325c96e19775c8f_6015_6" hidden="1">#REF!</definedName>
    <definedName name="TRNR_98d9856eb1a74b65b6115f48d722bcda_61_2" hidden="1">#REF!</definedName>
    <definedName name="TRNR_98de177253644282b798d9a442752595_50_2" hidden="1">#REF!</definedName>
    <definedName name="TRNR_98e208774e174039b5d186e436ae6386_61_2" hidden="1">#REF!</definedName>
    <definedName name="TRNR_99053b31af0e454896852a12792d3e18_90_12" hidden="1">#REF!</definedName>
    <definedName name="TRNR_99067cb67c1849778c7416172cebdc29_61_2" hidden="1">#REF!</definedName>
    <definedName name="TRNR_9919bbcb855740e0879c310161fc0bb4_278_26" hidden="1">#REF!</definedName>
    <definedName name="TRNR_9926ac5c2fe944f797d95a924d8a967b_284_26" hidden="1">#REF!</definedName>
    <definedName name="TRNR_992d3783ce7c4a06874d31792e74a667_61_2" hidden="1">#REF!</definedName>
    <definedName name="TRNR_99306ea31096442e9330d8ce1e150690_61_2" hidden="1">#REF!</definedName>
    <definedName name="TRNR_99396eff802643618ac43436d81b1a01_2024_6" hidden="1">#REF!</definedName>
    <definedName name="TRNR_9964fc5015e943799f17ac609b1d945c_74_11" hidden="1">#REF!</definedName>
    <definedName name="TRNR_996dc6a22700450b9cbb8d24b97f3251_284_13" hidden="1">#REF!</definedName>
    <definedName name="TRNR_9970eca3c25049eb8b5eb072a4c2566a_61_2" hidden="1">#REF!</definedName>
    <definedName name="TRNR_99724b460d1943faab5bf353b194af62_61_2" hidden="1">#REF!</definedName>
    <definedName name="TRNR_9987b9f1c046439db85cce936b32b111_21_9" hidden="1">#REF!</definedName>
    <definedName name="TRNR_99c6c6571d2e49cc902d8e7413ec9dbb_1083_27" hidden="1">#REF!</definedName>
    <definedName name="TRNR_99d4bbabfcb14e128e51ddcf435ad975_61_2" hidden="1">#REF!</definedName>
    <definedName name="TRNR_99dc4bef1d8e4e0eb97a980bc6811c5c_61_2" hidden="1">#REF!</definedName>
    <definedName name="TRNR_99deb184b8d64022803688259f006583_1068_27" hidden="1">#REF!</definedName>
    <definedName name="TRNR_99e64010f4d748d28952bdb55e18a305_61_2" hidden="1">#REF!</definedName>
    <definedName name="TRNR_99fd290201bf4ae7b0e7d1d743d00565_61_2" hidden="1">#REF!</definedName>
    <definedName name="TRNR_9a26bb17268340d3b05b5ab9bd402cb2_61_2" hidden="1">#REF!</definedName>
    <definedName name="TRNR_9a3091568c5745748b4e6806f08c4691_2129_6" hidden="1">#REF!</definedName>
    <definedName name="TRNR_9a414d939cff4835b5ad5d326ffac620_61_2" hidden="1">#REF!</definedName>
    <definedName name="TRNR_9a8adc856a4f473fa19d20110346bd99_61_2" hidden="1">#REF!</definedName>
    <definedName name="TRNR_9a8efea6b3274c6bb5e1ea676de1269c_528_6" hidden="1">#REF!</definedName>
    <definedName name="TRNR_9a923d96f739481b81e0fd9402e6690f_2_1" hidden="1">#REF!</definedName>
    <definedName name="TRNR_9aae143fe5bf46899b4c28bf1f692b53_61_2" hidden="1">#REF!</definedName>
    <definedName name="TRNR_9ac73a1b11504966a1bca8778c0f47d4_61_2" hidden="1">#REF!</definedName>
    <definedName name="TRNR_9adb9c59bd4049379f9c07195e9aa424_61_2" hidden="1">#REF!</definedName>
    <definedName name="TRNR_9adf99e4c4c84a1180c320cbdb5be9b8_61_2" hidden="1">#REF!</definedName>
    <definedName name="TRNR_9afe05cb30d144abae36835ec33cc90f_20_4" hidden="1">#REF!</definedName>
    <definedName name="TRNR_9b230df5df5d46b0b1de781039fe8c0e_61_2" hidden="1">#REF!</definedName>
    <definedName name="TRNR_9b2b046f6047453daaa8c53bccf1a79f_74_11" hidden="1">#REF!</definedName>
    <definedName name="TRNR_9b36c021aa5f40d9a8ccf4750b4c9f29_61_2" hidden="1">#REF!</definedName>
    <definedName name="TRNR_9b3d8e3388cc46d5b86636c46f26c537_977_18" hidden="1">#REF!</definedName>
    <definedName name="TRNR_9b427bc26434430e8f70ce9ead11c6d9_61_2" hidden="1">#REF!</definedName>
    <definedName name="TRNR_9b5f2e99adcd4209815c109b497304e8_528_7" hidden="1">#REF!</definedName>
    <definedName name="TRNR_9b7cd68f00ae4313b218eba8376d1c48_6069_6" hidden="1">#REF!</definedName>
    <definedName name="TRNR_9babf49d9f4c4d169ae600831874ff24_61_2" hidden="1">#REF!</definedName>
    <definedName name="TRNR_9bb0f1d57e0945d984fb246d2048832e_525_10" hidden="1">#REF!</definedName>
    <definedName name="TRNR_9bc00bfab7024816a9cb5be3e41a5c56_21_9" hidden="1">#REF!</definedName>
    <definedName name="TRNR_9bd532b4ddca41569d05596dfe665c19_90_9" hidden="1">#REF!</definedName>
    <definedName name="TRNR_9be4fdde31424c09913a6f87cd9aa6b4_61_2" hidden="1">#REF!</definedName>
    <definedName name="TRNR_9c009e3893b44fa89784bb56a5015899_6179_4" hidden="1">#REF!</definedName>
    <definedName name="TRNR_9c0950b7f4ad4015b4f3dd37ba474474_61_2" hidden="1">#REF!</definedName>
    <definedName name="TRNR_9c175af7df534195963daa5cc2b0466b_61_2" hidden="1">#REF!</definedName>
    <definedName name="TRNR_9c47d48a8b0d4b2ca9c0700c89dc722b_528_7" hidden="1">#REF!</definedName>
    <definedName name="TRNR_9c5bad210894417585462419c38c3e4a_524_10" hidden="1">#REF!</definedName>
    <definedName name="TRNR_9c62e10333294d4597931701a6120395_20_9" hidden="1">#REF!</definedName>
    <definedName name="TRNR_9c8699efd1134c62acd3f1bcafa1d172_3920_1" hidden="1">#REF!</definedName>
    <definedName name="TRNR_9c869c3b027847a18984335dbc6aa670_61_2" hidden="1">#REF!</definedName>
    <definedName name="TRNR_9c8a390fcb354f6292630a84276866ce_61_2" hidden="1">#REF!</definedName>
    <definedName name="TRNR_9c8ebd6ffdd14afbb5e622f34c7abdc1_109_3" hidden="1">#REF!</definedName>
    <definedName name="TRNR_9c8ec4a23bb34685857e62a1b4333c5d_5936_6" hidden="1">#REF!</definedName>
    <definedName name="TRNR_9c921963fde74bb78573e7be07c6d873_61_2" hidden="1">#REF!</definedName>
    <definedName name="TRNR_9c9ad02a647040ed9e31f07a3b67fff8_61_2" hidden="1">#REF!</definedName>
    <definedName name="TRNR_9c9c0696515645e58bbf5a2ac46f265c_5833_4" hidden="1">#REF!</definedName>
    <definedName name="TRNR_9c9e77a548fb4870b9c097acc9bf7bd4_61_2" hidden="1">#REF!</definedName>
    <definedName name="TRNR_9cc38b47a34941c4bd33e14beb814991_61_2" hidden="1">#REF!</definedName>
    <definedName name="TRNR_9ccc83bc5bf241e5a0b6ca70c15e4ecd_528_7" hidden="1">#REF!</definedName>
    <definedName name="TRNR_9ce47bcbfd5e4716a670ba804b2ef179_289_6" hidden="1">#REF!</definedName>
    <definedName name="TRNR_9ce905f0d1a9409d9ef3fc6a71e787ba_6045_7" hidden="1">#REF!</definedName>
    <definedName name="TRNR_9d098168999141699702c3e895ce64a6_61_2" hidden="1">#REF!</definedName>
    <definedName name="TRNR_9d0ae77d79a04cb1858399c5b7e9330b_61_2" hidden="1">#REF!</definedName>
    <definedName name="TRNR_9d11936a569249d79aff21dc152952f8_61_2" hidden="1">#REF!</definedName>
    <definedName name="TRNR_9d1b9093a27f4c67b62ab7498c6883bb_2045_6" hidden="1">#REF!</definedName>
    <definedName name="TRNR_9d312850358e43c4ad39d75e6a203e8a_61_2" hidden="1">#REF!</definedName>
    <definedName name="TRNR_9d355ccc83a44eb388e40db5f23ddac6_61_2" hidden="1">#REF!</definedName>
    <definedName name="TRNR_9d38b6a67b334783a157b55900f33a99_61_2" hidden="1">#REF!</definedName>
    <definedName name="TRNR_9d46d07eeb07409c951f6a76f3823125_51_3" hidden="1">#REF!</definedName>
    <definedName name="TRNR_9d491647e42b483ca9f197bc329ad997_61_2" hidden="1">#REF!</definedName>
    <definedName name="TRNR_9d53425bb2df413b89ba49733e685098_977_2" hidden="1">#REF!</definedName>
    <definedName name="TRNR_9d5408365c7546db8d40fb8ed10fd796_61_2" hidden="1">#REF!</definedName>
    <definedName name="TRNR_9d58d31f14af4ec7b1cc8acb531a2703_61_2" hidden="1">#REF!</definedName>
    <definedName name="TRNR_9d660e83b385408abd8650c340206ddb_50_2" hidden="1">#REF!</definedName>
    <definedName name="TRNR_9d8376de697c4f86a52fb0d56f097d63_61_2" hidden="1">#REF!</definedName>
    <definedName name="TRNR_9d8f6c877af940c18d606cfa51ae3c76_61_2" hidden="1">#REF!</definedName>
    <definedName name="TRNR_9d916a64e3f241b7a80ff3bf0e01d2ff_61_2" hidden="1">#REF!</definedName>
    <definedName name="TRNR_9d93e1d59e54482eafe33ecf5e2fd76e_103_4" hidden="1">#REF!</definedName>
    <definedName name="TRNR_9d9b7d56136d49bf88c722badd108358_61_2" hidden="1">#REF!</definedName>
    <definedName name="TRNR_9da9a0de6eb241ffaf4e94b2539a7e15_93_9" hidden="1">#REF!</definedName>
    <definedName name="TRNR_9daa704f7d094d1488b24546d31bfa17_2117_6" hidden="1">#REF!</definedName>
    <definedName name="TRNR_9db6041e69074a18978ee9aab87c34ad_18_2" hidden="1">#REF!</definedName>
    <definedName name="TRNR_9db89c07c0724fd7b639dfc8652ae34d_61_2" hidden="1">#REF!</definedName>
    <definedName name="TRNR_9dbc468ba0c643c68b43ed2ae8044247_73_11" hidden="1">#REF!</definedName>
    <definedName name="TRNR_9dbdd8867dfb47dfa0d8b237a7d385b8_5962_6" hidden="1">#REF!</definedName>
    <definedName name="TRNR_9dbeabfaa45a498fa454908eea54591f_61_2" hidden="1">#REF!</definedName>
    <definedName name="TRNR_9dc2918f65a14a219eb2a11ec909f88b_61_2" hidden="1">#REF!</definedName>
    <definedName name="TRNR_9dc72ff54a634ce99b151d15d244f377_61_2" hidden="1">#REF!</definedName>
    <definedName name="TRNR_9dcb33f493c64a3580b9ae5fda29081f_276_6" hidden="1">#REF!</definedName>
    <definedName name="TRNR_9dcb6ab34be14dd89feeb919aaf805ca_61_2" hidden="1">#REF!</definedName>
    <definedName name="TRNR_9dd85c4c30464b6ab873f7bb7cc5a173_61_2" hidden="1">'[1]Gráfico 66'!#REF!</definedName>
    <definedName name="TRNR_9ddfa51b211f4ba58af58f65fd25c8d9_52_6" hidden="1">#REF!</definedName>
    <definedName name="TRNR_9de2395c625c4581aedb09c28b5560d7_90_8" hidden="1">#REF!</definedName>
    <definedName name="TRNR_9df5155f20074cec9680107fcc883387_94_3" hidden="1">#REF!</definedName>
    <definedName name="TRNR_9e06703e039b4fc094d428d15aba5ac9_6013_6" hidden="1">#REF!</definedName>
    <definedName name="TRNR_9e0cb1c76bc14b49af274efd55f4d313_61_2" hidden="1">#REF!</definedName>
    <definedName name="TRNR_9e130adc80c74b9f93b57fd1f37e4db8_2086_6" hidden="1">#REF!</definedName>
    <definedName name="TRNR_9e14c79dfd1e440bb0b2faa081dc65ea_61_2" hidden="1">#REF!</definedName>
    <definedName name="TRNR_9e176276d4c644f0b22ddabeea2ef20e_90_9" hidden="1">#REF!</definedName>
    <definedName name="TRNR_9e25c3b64f2f48e9a12ca57f2241c343_4939_9" hidden="1">#REF!</definedName>
    <definedName name="TRNR_9e2c14fb01c7415f82719235852aeac5_525_10" hidden="1">#REF!</definedName>
    <definedName name="TRNR_9e346bdf226a43e8accac2421590d6b4_61_2" hidden="1">#REF!</definedName>
    <definedName name="TRNR_9e3530cdd0704933b2785557d32f4ab4_61_2" hidden="1">#REF!</definedName>
    <definedName name="TRNR_9e4a748cddb4426f962b7c2eeced2e06_6059_1" hidden="1">#REF!</definedName>
    <definedName name="TRNR_9e4ba659c4994b7496ec1b31ce9e43d7_61_2" hidden="1">#REF!</definedName>
    <definedName name="TRNR_9e50d73cdb8c46518479f08b09504eb6_25_6" hidden="1">#REF!</definedName>
    <definedName name="TRNR_9e5584b4dbb748a0a90f9a3e1de7fc5e_20_4" hidden="1">#REF!</definedName>
    <definedName name="TRNR_9e5cc0af5d2148029ac9dd7fcde7a631_61_2" hidden="1">#REF!</definedName>
    <definedName name="TRNR_9e611b07202445f682ea8b7309949134_53_3" hidden="1">#REF!</definedName>
    <definedName name="TRNR_9e64e88c068d4ff4a4ca3ecccb19df75_61_2" hidden="1">#REF!</definedName>
    <definedName name="TRNR_9e7f365b1b0c45c5916aaee792d6fcf6_525_10" hidden="1">#REF!</definedName>
    <definedName name="TRNR_9e7fc46d912d4b87968d59ea87537777_61_2" hidden="1">#REF!</definedName>
    <definedName name="TRNR_9e9f99647f8640e0ac80095ad33d2a05_59_3" hidden="1">#REF!</definedName>
    <definedName name="TRNR_9ea56b1d75634917ba1b701634e6ca63_61_2" hidden="1">#REF!</definedName>
    <definedName name="TRNR_9ea9e0e893f9404285153335c3c7594c_61_2" hidden="1">#REF!</definedName>
    <definedName name="TRNR_9eafe6d978f741b18c2fee0bcff7679b_6251_6" hidden="1">#REF!</definedName>
    <definedName name="TRNR_9ebffc7bcd74494c94c751e2dac0be83_61_2" hidden="1">#REF!</definedName>
    <definedName name="TRNR_9ecaf236fb474f12b80089e1eb99cd95_53_3" hidden="1">#REF!</definedName>
    <definedName name="TRNR_9eccacb655994117be8ec698c5548416_524_10" hidden="1">#REF!</definedName>
    <definedName name="TRNR_9ed138070f4240feab97da65fa793096_981_27" hidden="1">#REF!</definedName>
    <definedName name="TRNR_9ed2cad43df040a9b466a02908807093_61_2" hidden="1">#REF!</definedName>
    <definedName name="TRNR_9ee47f0e20404083b3c8175a7eb713a7_25_6" hidden="1">#REF!</definedName>
    <definedName name="TRNR_9ef293e00b8a4c05a1bf69e3d8d3d6a4_61_2" hidden="1">#REF!</definedName>
    <definedName name="TRNR_9f00555424214a06babd4dd237681e15_61_2" hidden="1">#REF!</definedName>
    <definedName name="TRNR_9f04aeaf6b074702be052614749d9d31_527_7" hidden="1">#REF!</definedName>
    <definedName name="TRNR_9f0e9e8d7abc4be7bcb4081c55e98bb7_61_2" hidden="1">#REF!</definedName>
    <definedName name="TRNR_9f222a614bbf42c897ce9fb6e8916d5b_61_2" hidden="1">#REF!</definedName>
    <definedName name="TRNR_9f2b44eaaa6c46569464c37413676f79_61_2" hidden="1">#REF!</definedName>
    <definedName name="TRNR_9f2f495dfb014213a8c901328986709f_5863_12" hidden="1">#REF!</definedName>
    <definedName name="TRNR_9f3843a8a5ac484eaf756b02ffdb80f0_2144_6" hidden="1">#REF!</definedName>
    <definedName name="TRNR_9f3a396ee06b4bb18438a47ee8c5d3d6_527_6" hidden="1">#REF!</definedName>
    <definedName name="TRNR_9f41112fd9e440c4b7892c35490e615f_61_2" hidden="1">#REF!</definedName>
    <definedName name="TRNR_9f425d3ad7f1497da8256f90024fe5f2_61_2" hidden="1">'[1]Gráfico 66'!#REF!</definedName>
    <definedName name="TRNR_9f45910eee9443c28cc4d091f1cc797b_61_2" hidden="1">#REF!</definedName>
    <definedName name="TRNR_9f640a4820c84d5fa3fad6ad2ba32029_61_2" hidden="1">#REF!</definedName>
    <definedName name="TRNR_9f6c56e0e1f0489a9feae16bc1cc606e_50_3" hidden="1">#REF!</definedName>
    <definedName name="TRNR_9f71189412114b3b902996518c0ddad0_61_2" hidden="1">#REF!</definedName>
    <definedName name="TRNR_9f713a85f0784476b45e4f90691319ec_61_2" hidden="1">#REF!</definedName>
    <definedName name="TRNR_9f8148f2cc7a401e8c7e5cf094948b3c_61_2" hidden="1">#REF!</definedName>
    <definedName name="TRNR_9f918e0afc7e402b8a51f9d22334fae1_61_2" hidden="1">#REF!</definedName>
    <definedName name="TRNR_9f93e8147e3040a1b8466123a1e7b18c_61_2" hidden="1">#REF!</definedName>
    <definedName name="TRNR_9f95c0c075194f178b295e04e385d1e4_6228_2" hidden="1">#REF!</definedName>
    <definedName name="TRNR_9fac71a6284d45d384beda9d506aad50_288_2" hidden="1">#REF!</definedName>
    <definedName name="TRNR_9fb8f1930b4c4228bb2bd341cc8050b5_61_2" hidden="1">#REF!</definedName>
    <definedName name="TRNR_9fc53d5b849a426ba3a0b35b2f408245_6014_4" hidden="1">#REF!</definedName>
    <definedName name="TRNR_9fdd37026f9c45baa709e098a12a4bbb_61_2" hidden="1">#REF!</definedName>
    <definedName name="TRNR_9fdfd889ce8b49518f6635191a372cbb_20_4" hidden="1">#REF!</definedName>
    <definedName name="TRNR_9fe01878c3de4d36ba77b8da073c3eef_2061_6" hidden="1">#REF!</definedName>
    <definedName name="TRNR_9fedd3cbf7fa4edc8e2c95ea8a850db6_61_2" hidden="1">'[1]Gráfico 66'!#REF!</definedName>
    <definedName name="TRNR_9fef7c90bd4f47e9823eacef8c35a029_528_6" hidden="1">#REF!</definedName>
    <definedName name="TRNR_9ff19dec74724d50b3bf8eb8c2a4d9ee_100_6" hidden="1">#REF!</definedName>
    <definedName name="TRNR_a027b1dd6f394b86854b70c9512e170c_525_10" hidden="1">#REF!</definedName>
    <definedName name="TRNR_a02d88547b5849dd8d2a20b3d26ead17_61_2" hidden="1">#REF!</definedName>
    <definedName name="TRNR_a0374adaf8ab4637a376724a61fc758a_61_2" hidden="1">#REF!</definedName>
    <definedName name="TRNR_a046d6cb669b43f182092ab6b1cdea20_314_10" hidden="1">#REF!</definedName>
    <definedName name="TRNR_a04762f5ae07403e931238856757c329_528_6" hidden="1">#REF!</definedName>
    <definedName name="TRNR_a0673062b98546a4b64a9273f0049009_61_2" hidden="1">#REF!</definedName>
    <definedName name="TRNR_a077bf9002d74e1486685bd1679da1df_528_6" hidden="1">#REF!</definedName>
    <definedName name="TRNR_a098243c19f24516bd74e3f12ab9d137_51_3" hidden="1">#REF!</definedName>
    <definedName name="TRNR_a0b0768098354549b91b985895be8cea_61_2" hidden="1">#REF!</definedName>
    <definedName name="TRNR_a0b6f5af96344aa9a475f47171abef1d_19_9" hidden="1">#REF!</definedName>
    <definedName name="TRNR_a0b970a90dcb487bab9095ff6d1f500d_6268_2" hidden="1">#REF!</definedName>
    <definedName name="TRNR_a0bab7d2596847aba6f0c8904c24174e_977_2" hidden="1">#REF!</definedName>
    <definedName name="TRNR_a0bb543e98e043ee9bb1b5740b19aa24_525_10" hidden="1">#REF!</definedName>
    <definedName name="TRNR_a0c829ebc0184adbb509db854ac95b0e_524_10" hidden="1">#REF!</definedName>
    <definedName name="TRNR_a0d302d366ef456aa41edaddd69b1dac_61_2" hidden="1">#REF!</definedName>
    <definedName name="TRNR_a0dc93da6c2341679f8ee598eb84e545_61_2" hidden="1">#REF!</definedName>
    <definedName name="TRNR_a1219f5ea47644ccbaf12c031fd6f792_61_2" hidden="1">#REF!</definedName>
    <definedName name="TRNR_a121b2b3612a4adaa149d336b04046e0_61_2" hidden="1">#REF!</definedName>
    <definedName name="TRNR_a12d4094471a491da76a27acf8d3a08c_61_2" hidden="1">#REF!</definedName>
    <definedName name="TRNR_a142b3b74013492981cd6e37abae7c7f_61_2" hidden="1">'[1]Gráfico 66'!#REF!</definedName>
    <definedName name="TRNR_a1547278bd984a6fb615a5e7b4c7f251_100_6" hidden="1">#REF!</definedName>
    <definedName name="TRNR_a15855dd58314b3c9699b644fb9e4252_50_3" hidden="1">#REF!</definedName>
    <definedName name="TRNR_a16d7f84eda543b08b67e4b5a24b0fa7_61_2" hidden="1">#REF!</definedName>
    <definedName name="TRNR_a179d94b0eaf446cb989315bd68d5617_61_2" hidden="1">#REF!</definedName>
    <definedName name="TRNR_a1847508dd694e4abd87df1ba803e557_61_2" hidden="1">#REF!</definedName>
    <definedName name="TRNR_a193b773b7e24cccbaa35cfa32bad5f0_61_6" hidden="1">#REF!</definedName>
    <definedName name="TRNR_a19af47b87bc4f4fbd23d9253389ac3e_6016_4" hidden="1">#REF!</definedName>
    <definedName name="TRNR_a1a44f4a1b5b4a819c7bf7e6f6321f61_528_6" hidden="1">#REF!</definedName>
    <definedName name="TRNR_a1c10983e46a414eabc440e45aac89a8_61_2" hidden="1">#REF!</definedName>
    <definedName name="TRNR_a1c121cb85b04fc5a1a857fa3f8acea6_61_2" hidden="1">#REF!</definedName>
    <definedName name="TRNR_a1e065258e7842fba3b2d551350b044d_61_2" hidden="1">#REF!</definedName>
    <definedName name="TRNR_a1e8ce9446a547b3984113d17bda12d6_61_2" hidden="1">#REF!</definedName>
    <definedName name="TRNR_a1ed199dd9a840048f15ba8dbff83784_73_11" hidden="1">#REF!</definedName>
    <definedName name="TRNR_a1ed69e264f042ec913244a7f9928793_61_2" hidden="1">#REF!</definedName>
    <definedName name="TRNR_a1f39616a6954c26956f54bb31a3a487_61_2" hidden="1">#REF!</definedName>
    <definedName name="TRNR_a1fc3071105b4d9f97497e20dff65692_5947_6" hidden="1">#REF!</definedName>
    <definedName name="TRNR_a1fef9eed2a64a7f829a60c231aaa133_61_11" hidden="1">#REF!</definedName>
    <definedName name="TRNR_a20afef1490a49f797e73b29a19d1d32_61_2" hidden="1">#REF!</definedName>
    <definedName name="TRNR_a21b5310fda7425fac7b6777d6e9c884_61_2" hidden="1">#REF!</definedName>
    <definedName name="TRNR_a21d3267c503424a8fd4619d3324cfc3_61_2" hidden="1">#REF!</definedName>
    <definedName name="TRNR_a23911bffabc4cb3af0542836e8e309a_61_2" hidden="1">#REF!</definedName>
    <definedName name="TRNR_a24042c5359b4c42a0c175d3b3aaf3c7_5838_6" hidden="1">#REF!</definedName>
    <definedName name="TRNR_a24b656b5c68410f8f1c53753d01e867_61_2" hidden="1">#REF!</definedName>
    <definedName name="TRNR_a24bd1a423824c4abf8764be22101eb3_61_2" hidden="1">#REF!</definedName>
    <definedName name="TRNR_a24d0a17cef6454e8ac8a06133389b76_186_10" hidden="1">#REF!</definedName>
    <definedName name="TRNR_a25358c3ae1446c98d206a991dad7821_61_2" hidden="1">#REF!</definedName>
    <definedName name="TRNR_a255f5a9b2cd4a469bf7f2687865f35b_61_2" hidden="1">#REF!</definedName>
    <definedName name="TRNR_a26b163d4cf04ca0b3a88721b1d6edc0_5919_6" hidden="1">#REF!</definedName>
    <definedName name="TRNR_a272039ccd204b0a8c3f367bd4b6b60b_6058_2" hidden="1">#REF!</definedName>
    <definedName name="TRNR_a273a24a356b492b93ca3c2508983cf2_62_11" hidden="1">#REF!</definedName>
    <definedName name="TRNR_a27c26768f874358b8f0a225086166ad_527_7" hidden="1">#REF!</definedName>
    <definedName name="TRNR_a28bced19cfb476095e2bae548956a1e_61_2" hidden="1">'[1]Gráfico 66'!#REF!</definedName>
    <definedName name="TRNR_a28ef03988fd4ed89cf394e95abf4288_61_2" hidden="1">#REF!</definedName>
    <definedName name="TRNR_a2a0d1079e214a16bceb960ba0b8409d_6045_2" hidden="1">#REF!</definedName>
    <definedName name="TRNR_a2c01c02d8be4435b4fed2058fea8403_528_5" hidden="1">#REF!</definedName>
    <definedName name="TRNR_a2d297c3ff544ce4a94785cc11c64b1f_61_2" hidden="1">#REF!</definedName>
    <definedName name="TRNR_a2d53b90e60c404087100b227740d8da_61_2" hidden="1">#REF!</definedName>
    <definedName name="TRNR_a2e037106aca435fb85fe85dfc11c993_61_2" hidden="1">#REF!</definedName>
    <definedName name="TRNR_a2e665d35f59426aae7c154aa71abe2a_528_7" hidden="1">#REF!</definedName>
    <definedName name="TRNR_a2f8ee99712d47c8833d523a2e8b735d_287_26" hidden="1">#REF!</definedName>
    <definedName name="TRNR_a308b00651dd4200a44dc0ee01b47053_5872_12" hidden="1">#REF!</definedName>
    <definedName name="TRNR_a31373f0eb904e189d118ad870e5fe34_964_2" hidden="1">#REF!</definedName>
    <definedName name="TRNR_a31a47a67f114c9cb2e4a58ada3d9322_61_2" hidden="1">#REF!</definedName>
    <definedName name="TRNR_a31a4d26f6bf43048187cd0d8fc76227_61_2" hidden="1">#REF!</definedName>
    <definedName name="TRNR_a35cbc877b174f5a82a93890c4e837c7_61_2" hidden="1">#REF!</definedName>
    <definedName name="TRNR_a35cdef7dbe040bcaaabf5861089c06a_1174_27" hidden="1">#REF!</definedName>
    <definedName name="TRNR_a38db2ecc076414cbefa954bd1fffd1a_524_10" hidden="1">#REF!</definedName>
    <definedName name="TRNR_a3934ffb70674d37bc8337324b3af627_62_11" hidden="1">#REF!</definedName>
    <definedName name="TRNR_a39a631956fa4e80bae6f9943d84e348_527_7" hidden="1">#REF!</definedName>
    <definedName name="TRNR_a39c8a9346954ae39dfccc3bbc89554a_61_2" hidden="1">#REF!</definedName>
    <definedName name="TRNR_a3a9cc5a004b441faf66e356392e6a71_283_6" hidden="1">#REF!</definedName>
    <definedName name="TRNR_a3a9f115e4314d92808f7d7c9f4f27de_61_2" hidden="1">'[1]Gráfico 66'!#REF!</definedName>
    <definedName name="TRNR_a3aaf3cd10ec474b970575c4c9090017_61_2" hidden="1">#REF!</definedName>
    <definedName name="TRNR_a3ab8f4ab4ff44c1b5482cd4cfb1423f_61_2" hidden="1">#REF!</definedName>
    <definedName name="TRNR_a3b44a6c98874ae5b8fe4067ad6ef4c4_50_3" hidden="1">#REF!</definedName>
    <definedName name="TRNR_a3b70b36613b4eea8444bcc3e4efa511_61_2" hidden="1">#REF!</definedName>
    <definedName name="TRNR_a3b86bb6217d4806a3451ff9fd1dfcfc_5843_6" hidden="1">#REF!</definedName>
    <definedName name="TRNR_a3bd226df9484119b7188e6475eeabe7_5828_6" hidden="1">#REF!</definedName>
    <definedName name="TRNR_a3be5caa56754fe4b9f3083beb591488_50_3" hidden="1">#REF!</definedName>
    <definedName name="TRNR_a3c1c07bb1a64e05989bec7f5b402c2b_61_2" hidden="1">#REF!</definedName>
    <definedName name="TRNR_a3d693443dc247a785de301dcf341e76_61_2" hidden="1">#REF!</definedName>
    <definedName name="TRNR_a3e404559db34c8e8b76da22edaf5231_61_2" hidden="1">'[1]Gráfico 66'!#REF!</definedName>
    <definedName name="TRNR_a3e40fcbcdb346268ef04fd57d083e0f_61_2" hidden="1">#REF!</definedName>
    <definedName name="TRNR_a3ec7d28b7794869b2ad77f6e2113fb7_4_2" hidden="1">#REF!</definedName>
    <definedName name="TRNR_a3f4004005294e02a817f827c811d235_5847_3" hidden="1">#REF!</definedName>
    <definedName name="TRNR_a41f1c2945524d43ad0fa6ef57c00d13_61_2" hidden="1">#REF!</definedName>
    <definedName name="TRNR_a423639c5bf24f4f9cf4e23312a4324b_528_6" hidden="1">#REF!</definedName>
    <definedName name="TRNR_a42effd76ba740489e29ebf52e42694c_61_2" hidden="1">#REF!</definedName>
    <definedName name="TRNR_a43aa3874d664d8e9fcf1cc40aa28815_61_2" hidden="1">#REF!</definedName>
    <definedName name="TRNR_a44896162e844064a6265c994448b4ac_19_9" hidden="1">#REF!</definedName>
    <definedName name="TRNR_a459238a4f904e9bbcbe28811707776a_61_2" hidden="1">#REF!</definedName>
    <definedName name="TRNR_a45b7637ade449c790370dddc0d3ecf8_1034_27" hidden="1">#REF!</definedName>
    <definedName name="TRNR_a45e289bb3af48bb9162ebda06dc2be5_61_2" hidden="1">#REF!</definedName>
    <definedName name="TRNR_a46335e5ba284c9c979eb0be79a85b47_61_2" hidden="1">#REF!</definedName>
    <definedName name="TRNR_a47dcda6bbd74bfcb322f72c926d59f2_282_26" hidden="1">#REF!</definedName>
    <definedName name="TRNR_a48e9a4cf33d4706b4d68657919b6ec9_74_4" hidden="1">#REF!</definedName>
    <definedName name="TRNR_a4bd70dd26d44982bf432fa024b68c77_61_2" hidden="1">#REF!</definedName>
    <definedName name="TRNR_a4cb3fc1e43b4dd69645bac31f9e1828_61_2" hidden="1">#REF!</definedName>
    <definedName name="TRNR_a4d6d56f0d844bd08813e586c8719781_61_2" hidden="1">#REF!</definedName>
    <definedName name="TRNR_a4deb1a514d5451ebd8c6afb7a4f508d_61_2" hidden="1">#REF!</definedName>
    <definedName name="TRNR_a4eb6c5a15614021a00ae365518f7db1_61_2" hidden="1">#REF!</definedName>
    <definedName name="TRNR_a4fd1bee924647ff9dbb1f00c07303b9_61_2" hidden="1">#REF!</definedName>
    <definedName name="TRNR_a4fdac816ada472191549939b9955c21_61_2" hidden="1">#REF!</definedName>
    <definedName name="TRNR_a4fe09191c44499587e7dcc2c11ab818_61_2" hidden="1">#REF!</definedName>
    <definedName name="TRNR_a4ffa166deaa4f548ea9b64f543958b4_61_2" hidden="1">#REF!</definedName>
    <definedName name="TRNR_a50c845b924d4fd199adb36efcda838e_61_2" hidden="1">#REF!</definedName>
    <definedName name="TRNR_a512f42fed3943b0a244cfee8cd411e7_1003_27" hidden="1">#REF!</definedName>
    <definedName name="TRNR_a539eb16807e49c6b6e66be3155194f4_61_2" hidden="1">#REF!</definedName>
    <definedName name="TRNR_a53f11db354b4db0be54e72f61a9c801_61_2" hidden="1">#REF!</definedName>
    <definedName name="TRNR_a54d5ac7c1fe431c8369600b5851066e_61_2" hidden="1">#REF!</definedName>
    <definedName name="TRNR_a556546744934d60a61ab900f5788f1f_61_2" hidden="1">#REF!</definedName>
    <definedName name="TRNR_a57471e0c2834ebfbf9591cf743ffefa_61_2" hidden="1">#REF!</definedName>
    <definedName name="TRNR_a5785e8248a5464f97ee18c2a4f93e13_528_6" hidden="1">#REF!</definedName>
    <definedName name="TRNR_a57cc612c8ca4fd0bf7bddaa2322173e_61_2" hidden="1">#REF!</definedName>
    <definedName name="TRNR_a581436e52da4ffbadacadf3587af7f4_61_2" hidden="1">#REF!</definedName>
    <definedName name="TRNR_a593dba183eb4f77ad39e45470950394_61_2" hidden="1">#REF!</definedName>
    <definedName name="TRNR_a598c6d21fae4589b9dfd95fae39d5d2_528_6" hidden="1">#REF!</definedName>
    <definedName name="TRNR_a598f7716c944955a810c1607cb601c6_5972_6" hidden="1">#REF!</definedName>
    <definedName name="TRNR_a5b15c11ca004148a811c1806975388a_61_2" hidden="1">#REF!</definedName>
    <definedName name="TRNR_a5d50857ba9b4e719e4692aadc4c8216_61_2" hidden="1">#REF!</definedName>
    <definedName name="TRNR_a5d5f6fcb81d43a899baf65113f1e8e2_5_3" hidden="1">#REF!</definedName>
    <definedName name="TRNR_a5d7ef9104534ac4ad02aab3f49aade8_103_6" hidden="1">#REF!</definedName>
    <definedName name="TRNR_a5ed49e3f2b247fc91e0265b8479446a_61_2" hidden="1">#REF!</definedName>
    <definedName name="TRNR_a5f6d1c50d754f878d474ffe754fbb4c_5821_6" hidden="1">#REF!</definedName>
    <definedName name="TRNR_a60130941a30477ca5da488efd3a63af_61_2" hidden="1">#REF!</definedName>
    <definedName name="TRNR_a627a0958fae48a49759073128fbb4ae_61_2" hidden="1">#REF!</definedName>
    <definedName name="TRNR_a630791331244aac99978d9065d640c1_61_2" hidden="1">#REF!</definedName>
    <definedName name="TRNR_a64260e57534499e85ed2d576d4829ba_103_4" hidden="1">#REF!</definedName>
    <definedName name="TRNR_a64a99ebda3e416781c5acfa8cf7b354_61_2" hidden="1">#REF!</definedName>
    <definedName name="TRNR_a655cfcf810f4cb89d35f2db8f1163d2_61_12" hidden="1">#REF!</definedName>
    <definedName name="TRNR_a66d81ae886e4b4dbe6ab2420063bdb0_61_2" hidden="1">#REF!</definedName>
    <definedName name="TRNR_a68662a51ab94f3d9acd0aa145298519_1054_27" hidden="1">#REF!</definedName>
    <definedName name="TRNR_a696181dd04e4ba78ca398956a57409b_4909_3" hidden="1">#REF!</definedName>
    <definedName name="TRNR_a696a4bf7c5544d99481637f89c9ebfd_61_2" hidden="1">#REF!</definedName>
    <definedName name="TRNR_a6ddda2d7942412d878bd75ff8424104_61_2" hidden="1">#REF!</definedName>
    <definedName name="TRNR_a6e7022c681d409f8dfe738698c32323_50_3" hidden="1">#REF!</definedName>
    <definedName name="TRNR_a6eef246d8ca4baaa8f540838fb0fc05_30_1" hidden="1">#REF!</definedName>
    <definedName name="TRNR_a70d00cddb8b4c98a34883c42556cb63_33_15" hidden="1">#REF!</definedName>
    <definedName name="TRNR_a71fae227bd74783973ed4d1e3c72a37_61_2" hidden="1">#REF!</definedName>
    <definedName name="TRNR_a7259b3d68f34c6db91cbfca09769994_61_2" hidden="1">#REF!</definedName>
    <definedName name="TRNR_a7410c2a92594173b2c38de4a1e9d0c4_61_2" hidden="1">#REF!</definedName>
    <definedName name="TRNR_a766238112c74f7689fa812368b38865_61_2" hidden="1">#REF!</definedName>
    <definedName name="TRNR_a7738e6c8e894103bfee0d1f5d53286a_61_2" hidden="1">#REF!</definedName>
    <definedName name="TRNR_a7b3c3b8e3904225a5e09675d069ae73_528_7" hidden="1">#REF!</definedName>
    <definedName name="TRNR_a7bb86587ad445e9be45f92a6f040591_61_2" hidden="1">#REF!</definedName>
    <definedName name="TRNR_a7c091f7f6bd44bca20b5c8d254b7d75_61_2" hidden="1">#REF!</definedName>
    <definedName name="TRNR_a7c55ab5b1e5495d969a26fa2b950bc5_61_2" hidden="1">#REF!</definedName>
    <definedName name="TRNR_a7c5847d6a944ba79526c478ec4f126e_5942_6" hidden="1">#REF!</definedName>
    <definedName name="TRNR_a7d8675afc3b47c988dfaff6ce3fbb7e_61_2" hidden="1">'[1]Gráfico 66'!#REF!</definedName>
    <definedName name="TRNR_a81ce8a475bf4a8c9df9e1135d8464d1_978_27" hidden="1">#REF!</definedName>
    <definedName name="TRNR_a84bb0b9445348f6a8f5bfc40e1e121f_61_2" hidden="1">#REF!</definedName>
    <definedName name="TRNR_a853db59587346b680352f034cdfef60_6045_6" hidden="1">#REF!</definedName>
    <definedName name="TRNR_a85f7a253d334a95a7ddae71a8ae467f_61_2" hidden="1">#REF!</definedName>
    <definedName name="TRNR_a861af5888c54e48b1feab055ad78b62_61_2" hidden="1">#REF!</definedName>
    <definedName name="TRNR_a866ff2227734693977e61b48efdfde6_61_2" hidden="1">#REF!</definedName>
    <definedName name="TRNR_a87574868e7342aebe820ee155904809_52_6" hidden="1">#REF!</definedName>
    <definedName name="TRNR_a89256591b674646833dfb2e810d7bd0_61_2" hidden="1">#REF!</definedName>
    <definedName name="TRNR_a89a1465296841b68bf46dbb64361574_100_6" hidden="1">#REF!</definedName>
    <definedName name="TRNR_a8a37ecfd7b74a56afe0e2f692c4c778_6193_3" hidden="1">#REF!</definedName>
    <definedName name="TRNR_a8ad4031b1484573b0f76f47b535c433_61_2" hidden="1">#REF!</definedName>
    <definedName name="TRNR_a8baf047dd4f41eda843ac2f90eddd75_5757_12" hidden="1">#REF!</definedName>
    <definedName name="TRNR_a8c349833c1041d5b6a3ca83d9a96502_61_2" hidden="1">#REF!</definedName>
    <definedName name="TRNR_a8f30e1050224707908b8741cee29db7_61_2" hidden="1">#REF!</definedName>
    <definedName name="TRNR_a8f3520503224f98aa25e76c58ef62ed_61_2" hidden="1">#REF!</definedName>
    <definedName name="TRNR_a8f9e9b1716f4cfd897d182c81aef6a1_6_1" hidden="1">'[1]Gráfico 66'!#REF!</definedName>
    <definedName name="TRNR_a904045b21c14758b9d3003156f7cd27_1018_27" hidden="1">#REF!</definedName>
    <definedName name="TRNR_a91715f151164e07bbbe6ac6f4559dd1_61_2" hidden="1">'[1]Gráfico 66'!#REF!</definedName>
    <definedName name="TRNR_a922ace92de34f12b0299a21dec12912_61_2" hidden="1">#REF!</definedName>
    <definedName name="TRNR_a9299d6515014221a0f12c84ae2ee2e7_525_10" hidden="1">#REF!</definedName>
    <definedName name="TRNR_a933197f03be42ebb28bc5655b70e870_61_2" hidden="1">'[1]Gráfico 66'!#REF!</definedName>
    <definedName name="TRNR_a93c60c2a9d84ca595404931961658a8_61_2" hidden="1">#REF!</definedName>
    <definedName name="TRNR_a943f6e2d55a4922b38c231ed50c3514_5971_6" hidden="1">#REF!</definedName>
    <definedName name="TRNR_a94b1597d26c44ae9f7fa01736c2739a_5864_12" hidden="1">#REF!</definedName>
    <definedName name="TRNR_a94f6941030d4ad9839d5c72ed1170d4_61_2" hidden="1">#REF!</definedName>
    <definedName name="TRNR_a98586e697394490ad48f7bc8d4a6efd_101_6" hidden="1">#REF!</definedName>
    <definedName name="TRNR_a99e9231ab9b4b6a87ede54a812a1c4a_50_2" hidden="1">#REF!</definedName>
    <definedName name="TRNR_a9a99136cadb41cfb554a6333af1a7fb_6207_2" hidden="1">#REF!</definedName>
    <definedName name="TRNR_a9ab03ec4b4a48e4ab750813722ca691_61_2" hidden="1">#REF!</definedName>
    <definedName name="TRNR_a9b043591ca64d1880a1fc7a228fa206_61_2" hidden="1">#REF!</definedName>
    <definedName name="TRNR_a9b157014493437d8c9c144a9f97989a_61_2" hidden="1">#REF!</definedName>
    <definedName name="TRNR_a9bb35a6c9ec42a391f9a644a372f7a5_61_2" hidden="1">#REF!</definedName>
    <definedName name="TRNR_a9dd83d00392443fb6032ce10a153421_311_10" hidden="1">#REF!</definedName>
    <definedName name="TRNR_a9eff2c1e281412dae2af7ef3504d489_528_6" hidden="1">#REF!</definedName>
    <definedName name="TRNR_aa03ee3a285c4ab596e23822bb7d8e80_61_2" hidden="1">#REF!</definedName>
    <definedName name="TRNR_aa0684c4cacf43038c7477a8d96484e9_61_12" hidden="1">#REF!</definedName>
    <definedName name="TRNR_aa22a7ec23d04932871eca7f09c3611b_61_2" hidden="1">#REF!</definedName>
    <definedName name="TRNR_aa2cbbab7a5745ef950a1f17e7022e30_1100_2" hidden="1">#REF!</definedName>
    <definedName name="TRNR_aa6364ec82014a87adc338f9a9728d8f_61_2" hidden="1">#REF!</definedName>
    <definedName name="TRNR_aa688d085f1b49b6a3b0b2143e42bcc2_61_2" hidden="1">#REF!</definedName>
    <definedName name="TRNR_aa7881d0afcf49508fd535f0c9ee9116_61_2" hidden="1">#REF!</definedName>
    <definedName name="TRNR_aa7e04a430bf43fcb74b5133012a2825_61_2" hidden="1">#REF!</definedName>
    <definedName name="TRNR_aa89788019eb4c0eb90c4afa5de5e43e_61_2" hidden="1">#REF!</definedName>
    <definedName name="TRNR_aa9ac94995694684a7477a041c7cfd55_61_2" hidden="1">#REF!</definedName>
    <definedName name="TRNR_aaa3c81c45554233a89f5e675acdae63_61_2" hidden="1">#REF!</definedName>
    <definedName name="TRNR_aad4de465b31472997a8ed5e44011da3_309_3" hidden="1">#REF!</definedName>
    <definedName name="TRNR_aad533a86e6649eeb9b5c1b1408657d3_9_6" hidden="1">#REF!</definedName>
    <definedName name="TRNR_aadce9c24089414393a494e443b1f380_61_2" hidden="1">#REF!</definedName>
    <definedName name="TRNR_ab064515740a4b35b6fd8644ac7e3a0a_102_6" hidden="1">#REF!</definedName>
    <definedName name="TRNR_ab0c0ca876654801ad9dbb7ac0120911_61_2" hidden="1">#REF!</definedName>
    <definedName name="TRNR_ab2f7f188ff64f0ba3c6ef0269258555_61_2" hidden="1">#REF!</definedName>
    <definedName name="TRNR_ab51a28d08844da980cd368108959d24_61_2" hidden="1">#REF!</definedName>
    <definedName name="TRNR_ab54a8d56c194d2daa4acda62bf3de0b_61_2" hidden="1">#REF!</definedName>
    <definedName name="TRNR_ab665145f097466cb3bfede740373230_61_2" hidden="1">#REF!</definedName>
    <definedName name="TRNR_ab6db62b49df4511a60f058473701855_6123_2" hidden="1">#REF!</definedName>
    <definedName name="TRNR_ab78fe5680c146059e974fdf2b5e0ffc_61_2" hidden="1">#REF!</definedName>
    <definedName name="TRNR_ab79e6c2823c4d06a5b83bea4e791ad4_6059_1" hidden="1">#REF!</definedName>
    <definedName name="TRNR_ab7f2ee94ee8428a8fe48c283b861fb5_61_2" hidden="1">#REF!</definedName>
    <definedName name="TRNR_ab81d93d132f42999be9e593b0e76251_121_1" hidden="1">#REF!</definedName>
    <definedName name="TRNR_ab948ed946fe4e4dae3fce2fc9ab789c_61_2" hidden="1">#REF!</definedName>
    <definedName name="TRNR_ab96665d651740be94367dbd6c7f3609_52_50" hidden="1">#REF!</definedName>
    <definedName name="TRNR_ab9712aaa1774a6586e9a0beac7aac74_5844_12" hidden="1">#REF!</definedName>
    <definedName name="TRNR_ab97a6f6b33c471caa211d8b13ea3414_6406_2" hidden="1">#REF!</definedName>
    <definedName name="TRNR_abab83c4de464610b6e9314c815f0cd1_1195_27" hidden="1">#REF!</definedName>
    <definedName name="TRNR_abb8db61ee464309b14aa4af5d1492b0_5785_3" hidden="1">#REF!</definedName>
    <definedName name="TRNR_abbd53c0430d48ab95b0157466b58ae9_192_3" hidden="1">#REF!</definedName>
    <definedName name="TRNR_abd28fdc8e9344c2b19e3c12669bb475_98_4" hidden="1">#REF!</definedName>
    <definedName name="TRNR_abea638a2d2444ee8670dab83159725b_61_2" hidden="1">'[1]Gráfico 66'!#REF!</definedName>
    <definedName name="TRNR_abed9159d5214d8e87b99a56cf540870_61_2" hidden="1">'[1]Gráfico 66'!#REF!</definedName>
    <definedName name="TRNR_abf7951d9a394623b3f5b5188645a2a0_6_1" hidden="1">#REF!</definedName>
    <definedName name="TRNR_ac192836ebd14998b03972f1d4d89355_5847_3" hidden="1">#REF!</definedName>
    <definedName name="TRNR_ac2597940438468ba92792020270557c_288_6" hidden="1">#REF!</definedName>
    <definedName name="TRNR_ac4edfb5dfae4a8898e52778afb4959a_6002_6" hidden="1">#REF!</definedName>
    <definedName name="TRNR_ac775cbd668d4b6bb8f66fe01e09a2ac_61_2" hidden="1">#REF!</definedName>
    <definedName name="TRNR_ac7bd51bcacb49e8963c702410a0021f_61_2" hidden="1">#REF!</definedName>
    <definedName name="TRNR_ac802b97632e4e5c8d35976bc42f3d90_61_2" hidden="1">#REF!</definedName>
    <definedName name="TRNR_ac91db58836e4c3c9f726e08073691aa_61_2" hidden="1">#REF!</definedName>
    <definedName name="TRNR_aca37e8c99a54e1fad75d0710f79a21e_61_2" hidden="1">#REF!</definedName>
    <definedName name="TRNR_acb00a7da76c421b97d2b25ebc5d909e_61_2" hidden="1">#REF!</definedName>
    <definedName name="TRNR_acb5894f4e0944408034b89f7a01cb6c_61_2" hidden="1">'[1]Gráfico 66'!#REF!</definedName>
    <definedName name="TRNR_acc9ae50032e4124bc117734da1d1c3a_95_9" hidden="1">#REF!</definedName>
    <definedName name="TRNR_acdcab77275b40f093136eb9a76e6483_1000_27" hidden="1">#REF!</definedName>
    <definedName name="TRNR_acffa664e2d94078bb01495478ccbfa4_284_6" hidden="1">#REF!</definedName>
    <definedName name="TRNR_ad0cba10f5b441d5a19cfe03fbbb56ff_50_1" hidden="1">#REF!</definedName>
    <definedName name="TRNR_ad127a4f9d59482ca51eb9f50dab1b6e_61_2" hidden="1">#REF!</definedName>
    <definedName name="TRNR_ad13734fc8264680bcd638a0c135bcc9_61_2" hidden="1">#REF!</definedName>
    <definedName name="TRNR_ad265d9dc7e84096852d0d77779c0824_61_2" hidden="1">#REF!</definedName>
    <definedName name="TRNR_ad3375592781428c9632600d685a90e1_523_1" hidden="1">#REF!</definedName>
    <definedName name="TRNR_ad5296a3e0c743958fa5c69fafa05528_61_2" hidden="1">#REF!</definedName>
    <definedName name="TRNR_ad5647eb436c4b2b800348d54e3d80e0_61_2" hidden="1">'[1]Gráfico 66'!#REF!</definedName>
    <definedName name="TRNR_ad6f8abb237c4f5988ad858c505c7c86_528_7" hidden="1">#REF!</definedName>
    <definedName name="TRNR_ad7698fcd1b248f18ecc190cdf424fa7_74_11" hidden="1">#REF!</definedName>
    <definedName name="TRNR_ad7a5c99c54d4011b32eeac40087e104_61_2" hidden="1">#REF!</definedName>
    <definedName name="TRNR_ad7fe6a9957c406290bb4cc2360df1d7_61_2" hidden="1">#REF!</definedName>
    <definedName name="TRNR_ad94d7f85ec34f51b7362dc3cfea9723_61_2" hidden="1">#REF!</definedName>
    <definedName name="TRNR_ada86b54dcd64535b659d52e5413303b_61_2" hidden="1">#REF!</definedName>
    <definedName name="TRNR_adb078c4f12341b9b57b2e6e3707592c_103_7" hidden="1">#REF!</definedName>
    <definedName name="TRNR_ade2f62a41b14feaa01d63cb67c1291c_276_6" hidden="1">#REF!</definedName>
    <definedName name="TRNR_ade358a5a02c411f87c10d1a6cf06a2f_61_2" hidden="1">#REF!</definedName>
    <definedName name="TRNR_aded9dec44324f5fb5adc7e11bc123ed_525_10" hidden="1">#REF!</definedName>
    <definedName name="TRNR_adf3c95344c54e668741d9c51fc9e3a5_61_2" hidden="1">#REF!</definedName>
    <definedName name="TRNR_ae02168f47ee464fbfb28cd0546be1b6_61_2" hidden="1">#REF!</definedName>
    <definedName name="TRNR_ae0a12ad4a164bff938d682f3ace0d1d_61_2" hidden="1">#REF!</definedName>
    <definedName name="TRNR_ae0f6449250e407f967dbd627c42e692_0_0" hidden="1">#REF!</definedName>
    <definedName name="TRNR_ae1a536783a54ba0a61ed2290f10f224_51_3" hidden="1">#REF!</definedName>
    <definedName name="TRNR_ae215a2fee1049f1ae8967bf465bfd17_61_2" hidden="1">#REF!</definedName>
    <definedName name="TRNR_ae3c45aeb305407eb526b060d2f5bad0_61_2" hidden="1">#REF!</definedName>
    <definedName name="TRNR_ae3c492adee543699232727e33286b3f_61_2" hidden="1">#REF!</definedName>
    <definedName name="TRNR_ae61e726713143b9ad1841a5c8f7cc72_313_3" hidden="1">'[1]Gráfico 65'!#REF!</definedName>
    <definedName name="TRNR_ae7e271897074c329eee947d57699502_977_10" hidden="1">#REF!</definedName>
    <definedName name="TRNR_ae83716f85e44ab395f4d5066e5cb637_61_2" hidden="1">#REF!</definedName>
    <definedName name="TRNR_ae84bc1909ca4c82972b668078748360_61_2" hidden="1">#REF!</definedName>
    <definedName name="TRNR_ae86788adb3f403aa586d6c1769caace_61_2" hidden="1">#REF!</definedName>
    <definedName name="TRNR_ae8e42eb4c174a35b3ac164b12eb0f22_528_7" hidden="1">#REF!</definedName>
    <definedName name="TRNR_ae8ee2e72b1a49b5a537303728b53ada_61_2" hidden="1">#REF!</definedName>
    <definedName name="TRNR_ae96f4711acb4d9f98bd84e05da9367d_61_2" hidden="1">#REF!</definedName>
    <definedName name="TRNR_aea00e83fdd1473d8b35b41f4deafd6a_523_3" hidden="1">#REF!</definedName>
    <definedName name="TRNR_aeb4e19326b946c686a3fed841667084_108_3" hidden="1">#REF!</definedName>
    <definedName name="TRNR_aec307db380f44a8865f1e3075ae3124_61_2" hidden="1">#REF!</definedName>
    <definedName name="TRNR_aece5185d3894915830b794204c5fd7e_25_6" hidden="1">#REF!</definedName>
    <definedName name="TRNR_aee3c671d45448d5bcd27549b00d6325_61_2" hidden="1">#REF!</definedName>
    <definedName name="TRNR_aee4a27f86e8494d92fe151d75447400_61_2" hidden="1">#REF!</definedName>
    <definedName name="TRNR_aeeea762cf644df0a25e348d265fe75c_61_2" hidden="1">#REF!</definedName>
    <definedName name="TRNR_aefd4d8b61124083948a467fc4b875be_288_6" hidden="1">#REF!</definedName>
    <definedName name="TRNR_af09767f24d54d168c7b95eadf6ab89b_5846_6" hidden="1">#REF!</definedName>
    <definedName name="TRNR_af0e199a7a8c40e79800cd1756b9489d_527_7" hidden="1">#REF!</definedName>
    <definedName name="TRNR_af1c5e7d6d1b41a9b5aafbac19f1443c_61_2" hidden="1">#REF!</definedName>
    <definedName name="TRNR_af300be4eb7b43089ec09a5f4cc916dd_109_3" hidden="1">#REF!</definedName>
    <definedName name="TRNR_af3561d029804933a97b441dd98e3067_61_2" hidden="1">#REF!</definedName>
    <definedName name="TRNR_af434f93726247fabbeaacb6373eb897_528_7" hidden="1">#REF!</definedName>
    <definedName name="TRNR_af546702ab344a9e868e46d3e1fce632_50_3" hidden="1">#REF!</definedName>
    <definedName name="TRNR_af5f3229ccf94817a13e503615c6f493_98_4" hidden="1">#REF!</definedName>
    <definedName name="TRNR_af819d035ce04f44b09f711d04f40b93_1_2" hidden="1">#REF!</definedName>
    <definedName name="TRNR_af81c67caf8d4128a88d663cf4663230_61_2" hidden="1">'[1]Gráfico 66'!#REF!</definedName>
    <definedName name="TRNR_af8b396146f54d1b95c495b2e7c3de30_61_2" hidden="1">#REF!</definedName>
    <definedName name="TRNR_af94cedfbf32417988d71732b584e16b_61_2" hidden="1">#REF!</definedName>
    <definedName name="TRNR_af96320bb84b4c4ea88ca277c516557e_527_6" hidden="1">#REF!</definedName>
    <definedName name="TRNR_af9d77aa65904fefbe911228bf02cb55_61_2" hidden="1">'[1]Gráfico 66'!#REF!</definedName>
    <definedName name="TRNR_afa068533ed94668aca9cad74062dcae_61_2" hidden="1">#REF!</definedName>
    <definedName name="TRNR_afb46a0b62b84553b46b3665652c77cc_61_2" hidden="1">#REF!</definedName>
    <definedName name="TRNR_afb647c19e334314bafb4168c84ad061_53_3" hidden="1">#REF!</definedName>
    <definedName name="TRNR_afbf8e97b645450dae358dd353086844_100_6" hidden="1">#REF!</definedName>
    <definedName name="TRNR_afd0cddc0d4748689d5f25510c7fb6d9_61_11" hidden="1">#REF!</definedName>
    <definedName name="TRNR_afd6e4d652f64f78bb28f524be003aa2_61_2" hidden="1">#REF!</definedName>
    <definedName name="TRNR_affaf6326c7440ec9fb329c8a1074a34_108_4" hidden="1">#REF!</definedName>
    <definedName name="TRNR_b00d58b9a03b4af99964f160254b5fd6_61_2" hidden="1">#REF!</definedName>
    <definedName name="TRNR_b00db1b979214eca8d0022653aa98f11_20_4" hidden="1">#REF!</definedName>
    <definedName name="TRNR_b01052de33f6433a8ec49eb082b550ac_61_2" hidden="1">#REF!</definedName>
    <definedName name="TRNR_b020bd5a53cf4afba9cf5b128ab35307_528_7" hidden="1">#REF!</definedName>
    <definedName name="TRNR_b026d0167cda4b01aa2dfa5f9fe0a2f5_61_2" hidden="1">#REF!</definedName>
    <definedName name="TRNR_b03b635fe4ae482687b93fe9f6ed240e_5_2" hidden="1">#REF!</definedName>
    <definedName name="TRNR_b05a3697f6084d748a3c37b9697d6b72_61_2" hidden="1">#REF!</definedName>
    <definedName name="TRNR_b067d6e8d00340ce9d707ce6dc576beb_267_1" hidden="1">#REF!</definedName>
    <definedName name="TRNR_b06d411ae4284baf93b3f5fe842ea044_523_6" hidden="1">#REF!</definedName>
    <definedName name="TRNR_b08505cb55614b9ea3f01c7b20eafb26_61_2" hidden="1">#REF!</definedName>
    <definedName name="TRNR_b08b6cd05eb94e0dbdbbfe92a92fdc24_61_2" hidden="1">#REF!</definedName>
    <definedName name="TRNR_b0a942afbdea4346903fa298a84e8d47_6059_1" hidden="1">#REF!</definedName>
    <definedName name="TRNR_b0ae3ec30e584b79953266e11e169b68_61_2" hidden="1">#REF!</definedName>
    <definedName name="TRNR_b0af687d5c8c46cc9da52357ddfda986_61_2" hidden="1">#REF!</definedName>
    <definedName name="TRNR_b0be3006e3164fe1a61f6ed6c2140bdc_61_2" hidden="1">#REF!</definedName>
    <definedName name="TRNR_b0cf3b1ac2ef4d5796883c11c6e1f03a_1038_27" hidden="1">#REF!</definedName>
    <definedName name="TRNR_b0d88077b2e5407cb2e2b2830ab8a408_61_2" hidden="1">#REF!</definedName>
    <definedName name="TRNR_b0f620ce301c49df9222f6c49d2ab1cb_977_2" hidden="1">#REF!</definedName>
    <definedName name="TRNR_b106c2f400474b28bedc7ea4110f2d24_525_1" hidden="1">#REF!</definedName>
    <definedName name="TRNR_b11607e0042144798898d1df79d190b5_103_6" hidden="1">#REF!</definedName>
    <definedName name="TRNR_b13821b9555a4ebf80daa3f81fe0af71_5870_12" hidden="1">#REF!</definedName>
    <definedName name="TRNR_b1532c3f7f194608b14973be2b04edc7_61_2" hidden="1">#REF!</definedName>
    <definedName name="TRNR_b1799321d8584ff281c53f4325fe9547_18_9" hidden="1">#REF!</definedName>
    <definedName name="TRNR_b17d3d02c4fa45eb82b675ab7ad6c374_61_2" hidden="1">#REF!</definedName>
    <definedName name="TRNR_b17f53feb206462abf2c8a9dcda9bb49_6186_4" hidden="1">#REF!</definedName>
    <definedName name="TRNR_b185407068d94966a054cd108f508603_4_2" hidden="1">#REF!</definedName>
    <definedName name="TRNR_b197162cbaac43e399da3626738c971d_61_2" hidden="1">#REF!</definedName>
    <definedName name="TRNR_b1a0e921c96040beac1b3a94924ddf63_61_2" hidden="1">#REF!</definedName>
    <definedName name="TRNR_b1a17e01f08d448d9c182d4db16bb6a1_5576_3" hidden="1">#REF!</definedName>
    <definedName name="TRNR_b1a32dbf01524cdba44364e16125d204_50_1" hidden="1">#REF!</definedName>
    <definedName name="TRNR_b1a973b158474b6b8d6d275c2cfbc030_9_6" hidden="1">#REF!</definedName>
    <definedName name="TRNR_b1ab03dc3de343888a6a6b9a9ac53027_5850_6" hidden="1">#REF!</definedName>
    <definedName name="TRNR_b1b11702eda84b33a20271f2b192e552_138_3" hidden="1">#REF!</definedName>
    <definedName name="TRNR_b1cb2ae226cf4bf196071c410e68cbf7_61_2" hidden="1">#REF!</definedName>
    <definedName name="TRNR_b1cb3b9c27a24722945b220c7e4dba65_61_2" hidden="1">#REF!</definedName>
    <definedName name="TRNR_b1ea545d4a2e403c95b0786ee4fb1c83_100_6" hidden="1">#REF!</definedName>
    <definedName name="TRNR_b1edd7ccbd58446f939c566c42fb2389_103_6" hidden="1">#REF!</definedName>
    <definedName name="TRNR_b205ad534a5946eabfc05b41a321fde3_61_2" hidden="1">#REF!</definedName>
    <definedName name="TRNR_b20acf6cb8164d239e92914a158a7ad8_61_2" hidden="1">#REF!</definedName>
    <definedName name="TRNR_b21143a744674663b3cf8c8444ff2f54_61_2" hidden="1">#REF!</definedName>
    <definedName name="TRNR_b2246bbeec7240d2b602138cff28088e_1170_27" hidden="1">#REF!</definedName>
    <definedName name="TRNR_b254d538f6bb4771958377f734c0f97d_61_2" hidden="1">#REF!</definedName>
    <definedName name="TRNR_b25c94f0b16340378c2bfc3c2c659a63_281_26" hidden="1">#REF!</definedName>
    <definedName name="TRNR_b2638017bad54dab9473841f210d41cf_983_27" hidden="1">#REF!</definedName>
    <definedName name="TRNR_b2650fc31f604448bd9f0f6a07b7278b_528_15" hidden="1">#REF!</definedName>
    <definedName name="TRNR_b266d4c8485f4bdab604d7b4addf559b_61_2" hidden="1">#REF!</definedName>
    <definedName name="TRNR_b270d64063ce40cc9cb2285861a48308_61_2" hidden="1">#REF!</definedName>
    <definedName name="TRNR_b28108836d9247e29fc4f0eb17aa9400_61_2" hidden="1">#REF!</definedName>
    <definedName name="TRNR_b284395687f54bfba71b0e2b921bd6b5_99_6" hidden="1">#REF!</definedName>
    <definedName name="TRNR_b29f7bfa13ad46a6bb71b4286a138b9f_50_2" hidden="1">#REF!</definedName>
    <definedName name="TRNR_b2a463bf02bd4bfdaa994f87d982a22a_46_37" hidden="1">#REF!</definedName>
    <definedName name="TRNR_b2ab0bdc3be44fee836ffd88682c102d_61_2" hidden="1">#REF!</definedName>
    <definedName name="TRNR_b2c27aaebb544a319136e238d86a3053_61_2" hidden="1">#REF!</definedName>
    <definedName name="TRNR_b2dde2914cc044faa4465a13ea5987cb_61_2" hidden="1">#REF!</definedName>
    <definedName name="TRNR_b2e920ef80af4e979c5f371819ed146e_61_2" hidden="1">#REF!</definedName>
    <definedName name="TRNR_b2ee87c410f149b5a08ba8352b8d01f3_61_2" hidden="1">#REF!</definedName>
    <definedName name="TRNR_b32d8691fc62447f8f96ce6b5912ff79_2064_6" hidden="1">#REF!</definedName>
    <definedName name="TRNR_b32fc8e3d51b4071907d68ab171c68ba_61_2" hidden="1">#REF!</definedName>
    <definedName name="TRNR_b3319dacafb3495dbd573cc7fb1c06dc_5824_12" hidden="1">#REF!</definedName>
    <definedName name="TRNR_b35267bdfa0148fea8fd352b5e5f8cc0_1069_27" hidden="1">#REF!</definedName>
    <definedName name="TRNR_b367d4a7232b407a81ada74ea4aa4088_61_2" hidden="1">#REF!</definedName>
    <definedName name="TRNR_b37a41f0776841628f8dbb62a7078457_61_2" hidden="1">#REF!</definedName>
    <definedName name="TRNR_b391d943c87449738ab391e3dc245691_61_2" hidden="1">#REF!</definedName>
    <definedName name="TRNR_b3990b6d0c964d1983572e02ec14f6b1_61_2" hidden="1">#REF!</definedName>
    <definedName name="TRNR_b3a9e8e3356a401f8ae3ee26d5ce466b_1306_1" hidden="1">#REF!</definedName>
    <definedName name="TRNR_b3ca250903044f1bb43fe9c911c5b0c0_61_2" hidden="1">#REF!</definedName>
    <definedName name="TRNR_b3cf2cde2b6c4a548dbef23c179e50ed_50_3" hidden="1">#REF!</definedName>
    <definedName name="TRNR_b3d92f29668c44d78d2822581071caf7_61_2" hidden="1">#REF!</definedName>
    <definedName name="TRNR_b3df7fc9673e4dbbaf0646556d1451e6_40_50" hidden="1">#REF!</definedName>
    <definedName name="TRNR_b3f939e0fba64b7fa625e2f0f830b8dc_61_2" hidden="1">#REF!</definedName>
    <definedName name="TRNR_b3fab83ca23c48218bebad791694993a_55_3" hidden="1">#REF!</definedName>
    <definedName name="TRNR_b4018f300579480aba342d65c7a4c2b6_283_13" hidden="1">#REF!</definedName>
    <definedName name="TRNR_b406ad2feb0949bf8490220e9260e2a1_61_2" hidden="1">#REF!</definedName>
    <definedName name="TRNR_b40a616cca2f4102911398098a9d4ce1_61_2" hidden="1">#REF!</definedName>
    <definedName name="TRNR_b414cff464cb486e99aa11803f229af1_61_2" hidden="1">#REF!</definedName>
    <definedName name="TRNR_b427523fa19345b2bf9731864eeea3d5_61_2" hidden="1">#REF!</definedName>
    <definedName name="TRNR_b42916f9950949299342608d30f7a05e_61_2" hidden="1">#REF!</definedName>
    <definedName name="TRNR_b42c55a468514afc820e7f2d80b9dcb8_61_2" hidden="1">#REF!</definedName>
    <definedName name="TRNR_b45a7a5eb25740639b3f48766b88c2fb_61_2" hidden="1">#REF!</definedName>
    <definedName name="TRNR_b46aaa0aa0df43e480cabded7f46c7c4_50_2" hidden="1">#REF!</definedName>
    <definedName name="TRNR_b485d80eaf664582baf7002bdf04953f_61_2" hidden="1">#REF!</definedName>
    <definedName name="TRNR_b48d3f88a92145998a10432308b643cf_61_2" hidden="1">#REF!</definedName>
    <definedName name="TRNR_b48f3b9d6d7546b5b929bb4275ffe388_61_2" hidden="1">#REF!</definedName>
    <definedName name="TRNR_b4981ac6306c40a1af1ad7559ab88538_528_7" hidden="1">#REF!</definedName>
    <definedName name="TRNR_b4b5309693ab459f9c58cdc9a58f4579_138_2" hidden="1">#REF!</definedName>
    <definedName name="TRNR_b4c7a78469be4e46b5c101d6f8025db9_6_1" hidden="1">#REF!</definedName>
    <definedName name="TRNR_b4c94bf936794a70a050bc2a6a1ead78_61_2" hidden="1">'[1]Gráfico 66'!#REF!</definedName>
    <definedName name="TRNR_b4cac7de491a4f9db09a37948f80a25e_61_2" hidden="1">#REF!</definedName>
    <definedName name="TRNR_b4de3c235dbd421ea6f79210930c745a_61_2" hidden="1">#REF!</definedName>
    <definedName name="TRNR_b4e1bda779dd48728193f104f8aa724f_283_6" hidden="1">#REF!</definedName>
    <definedName name="TRNR_b4f9d548169340c0886087f2e3efb934_61_2" hidden="1">#REF!</definedName>
    <definedName name="TRNR_b4fd3a4de3e7410abac69f7b2c70c4a6_61_2" hidden="1">#REF!</definedName>
    <definedName name="TRNR_b50f334a111e41df9a1aec92a415f182_528_6" hidden="1">#REF!</definedName>
    <definedName name="TRNR_b5123e6b8935415ab8e292bfb054ae4f_61_2" hidden="1">#REF!</definedName>
    <definedName name="TRNR_b5141a2fe0ba42a7b1c669a2e6556db0_528_7" hidden="1">#REF!</definedName>
    <definedName name="TRNR_b51b5712b62a4df1b33b0eacbe318e07_61_2" hidden="1">#REF!</definedName>
    <definedName name="TRNR_b53dc46c66064e67baaf1af87892d3fa_9_6" hidden="1">#REF!</definedName>
    <definedName name="TRNR_b559ccd8490148b09d3e20657bf4fb5a_48_10" hidden="1">#REF!</definedName>
    <definedName name="TRNR_b56452481cf840d98bcc4851428fd615_61_2" hidden="1">'[1]Gráfico 66'!#REF!</definedName>
    <definedName name="TRNR_b5696ba464344c74b6e637c90a5205ac_61_2" hidden="1">#REF!</definedName>
    <definedName name="TRNR_b586556abd15483e855d8fc95f1d9d09_61_2" hidden="1">#REF!</definedName>
    <definedName name="TRNR_b59936a9f20f42f680e30c6bbc490e93_528_6" hidden="1">#REF!</definedName>
    <definedName name="TRNR_b5a2a3d6d9784ec3b1312bd89670c6a4_51_3" hidden="1">#REF!</definedName>
    <definedName name="TRNR_b5d1cd1df7e441dba996ab3a1f7c38d3_524_27" hidden="1">#REF!</definedName>
    <definedName name="TRNR_b5d339ec278e40fdb2d7fa48408378ae_61_2" hidden="1">#REF!</definedName>
    <definedName name="TRNR_b5dd86930845462392d41d4af2498480_61_2" hidden="1">#REF!</definedName>
    <definedName name="TRNR_b5def096355447e8bee326719d9678ef_61_2" hidden="1">#REF!</definedName>
    <definedName name="TRNR_b5f5517a361c4e22bb5a5ce5b8c073a2_61_2" hidden="1">#REF!</definedName>
    <definedName name="TRNR_b616362e0c9647feb3e517af10457476_276_6" hidden="1">#REF!</definedName>
    <definedName name="TRNR_b631d315faac4f57a05d1799d3edcb15_525_10" hidden="1">#REF!</definedName>
    <definedName name="TRNR_b64e1ea572c6481c84b8691beebdc5fa_61_2" hidden="1">#REF!</definedName>
    <definedName name="TRNR_b652a93be1664b23b8839c86644d57cb_61_2" hidden="1">#REF!</definedName>
    <definedName name="TRNR_b65ae9122bd14d8aab609d84cef6cba4_4_2" hidden="1">#REF!</definedName>
    <definedName name="TRNR_b66bbe2811ee4289a5848a25931d89ca_50_2" hidden="1">#REF!</definedName>
    <definedName name="TRNR_b68d6510808f465797bb2a7586b19927_528_7" hidden="1">#REF!</definedName>
    <definedName name="TRNR_b6a04715331348939e49fbfe31d231ed_19_9" hidden="1">#REF!</definedName>
    <definedName name="TRNR_b6a38decee5a4acd82b465b3622f83ef_528_7" hidden="1">#REF!</definedName>
    <definedName name="TRNR_b6c33454763a4ba58645903f1a184dca_143_6" hidden="1">#REF!</definedName>
    <definedName name="TRNR_b6e2e81ff8bc40a28a2658f80213a8df_61_2" hidden="1">#REF!</definedName>
    <definedName name="TRNR_b6ffd1fcaa904466af7e81f494a464f8_61_2" hidden="1">#REF!</definedName>
    <definedName name="TRNR_b709219e4eac40f697cd2f01c8a0cbc8_61_2" hidden="1">#REF!</definedName>
    <definedName name="TRNR_b71a674eedbb43189a82851391dacbf6_5834_6" hidden="1">#REF!</definedName>
    <definedName name="TRNR_b71f0411ff3646bca1406669f6bab045_61_2" hidden="1">#REF!</definedName>
    <definedName name="TRNR_b72001e23dbf4190902019d229c0505b_19_9" hidden="1">#REF!</definedName>
    <definedName name="TRNR_b73d31d513274fcea1de273d0061e65b_6200_2" hidden="1">#REF!</definedName>
    <definedName name="TRNR_b74a080566b544f4bd03ee0cdcea736f_61_2" hidden="1">#REF!</definedName>
    <definedName name="TRNR_b753756d33e84c06a1e23cd1b4c17237_61_2" hidden="1">#REF!</definedName>
    <definedName name="TRNR_b7a2f2ae86d04e1f81205698f99cab06_20_4" hidden="1">#REF!</definedName>
    <definedName name="TRNR_b7a4bce101ca4d908e8c05507995217f_62_2" hidden="1">#REF!</definedName>
    <definedName name="TRNR_b7a4ce70455443079b69106e05aa670b_5836_6" hidden="1">#REF!</definedName>
    <definedName name="TRNR_b7b74da0bf7b4cdca907e71342f08103_61_2" hidden="1">#REF!</definedName>
    <definedName name="TRNR_b7ba51ffaf844d408481efc0e867efdc_7045_2" hidden="1">#REF!</definedName>
    <definedName name="TRNR_b7bbbcfdc08f406a8b8e2a37736a25d2_61_2" hidden="1">#REF!</definedName>
    <definedName name="TRNR_b7bc9cf8600140c386465865129c6182_61_2" hidden="1">#REF!</definedName>
    <definedName name="TRNR_b7be1ce7ca0943f598cc0c98cb63a56c_5847_3" hidden="1">#REF!</definedName>
    <definedName name="TRNR_b7d4c1dfe35a493e9f5348896aaa203d_55_3" hidden="1">#REF!</definedName>
    <definedName name="TRNR_b7db47bf6f4f46a7afba8ebfc19427c9_977_26" hidden="1">#REF!</definedName>
    <definedName name="TRNR_b7ed0a34760e4e568ad1bb0b41e24d5d_61_2" hidden="1">#REF!</definedName>
    <definedName name="TRNR_b7fff0a49fc54e93aaf05ade385c64db_528_6" hidden="1">#REF!</definedName>
    <definedName name="TRNR_b813c53a8b5a4d0c93cc1279db3d1a23_6143_6" hidden="1">#REF!</definedName>
    <definedName name="TRNR_b831c6995fc04e5996c1fd1d53e0464f_61_2" hidden="1">#REF!</definedName>
    <definedName name="TRNR_b840e75bcf6f4f37b5d4714692e897b8_61_2" hidden="1">#REF!</definedName>
    <definedName name="TRNR_b850c5e4d9ec423b82ea7c53ff138f92_997_27" hidden="1">#REF!</definedName>
    <definedName name="TRNR_b855b47c8fca4b11b240ffe13b9bb5a1_528_6" hidden="1">#REF!</definedName>
    <definedName name="TRNR_b85efcc1b1ed4d33bcbc85cb75a9a1bf_61_2" hidden="1">#REF!</definedName>
    <definedName name="TRNR_b8637c5f07f14b13b54cbe252ed872b4_61_2" hidden="1">#REF!</definedName>
    <definedName name="TRNR_b8685fa4fb304a7fa77f513c94540a17_61_2" hidden="1">#REF!</definedName>
    <definedName name="TRNR_b869be463fe64170b1452d9e48af87d5_50_1" hidden="1">#REF!</definedName>
    <definedName name="TRNR_b87203f2a1e04fefa4e87bd656a8e4e9_61_2" hidden="1">#REF!</definedName>
    <definedName name="TRNR_b873c460e51d41838dbde76105b50098_61_2" hidden="1">#REF!</definedName>
    <definedName name="TRNR_b8810fa7a56a4303844bafc7e6fa8340_61_2" hidden="1">#REF!</definedName>
    <definedName name="TRNR_b889eaf5be274d0b8674b12b6db00e0d_4_2" hidden="1">#REF!</definedName>
    <definedName name="TRNR_b8942126a2914ef7b6a8e2c6f65862ab_5852_12" hidden="1">#REF!</definedName>
    <definedName name="TRNR_b8b0b55513414c71a8d76529264b56b1_52_6" hidden="1">#REF!</definedName>
    <definedName name="TRNR_b8bd4f29df4d4dfe9f8d081ee4ad0367_61_2" hidden="1">'[1]Gráfico 66'!#REF!</definedName>
    <definedName name="TRNR_b8be11402a674790ad1cbcd722246adc_321_10" hidden="1">#REF!</definedName>
    <definedName name="TRNR_b8c19edd68164016be24f9b647c22a4b_282_13" hidden="1">#REF!</definedName>
    <definedName name="TRNR_b8d19b68824342508162c9276661c908_61_2" hidden="1">#REF!</definedName>
    <definedName name="TRNR_b8d6b747a54d49c4bf6eb9121e3e6c68_61_2" hidden="1">#REF!</definedName>
    <definedName name="TRNR_b8f89ef795a844cfb6a60c870cfc8e1b_61_2" hidden="1">#REF!</definedName>
    <definedName name="TRNR_b8f96f95ede54e159af0e129cd8b39aa_61_2" hidden="1">#REF!</definedName>
    <definedName name="TRNR_b8fc960be6974fe58cd15eb80839183d_525_10" hidden="1">#REF!</definedName>
    <definedName name="TRNR_b908fbe5038c4d2185caf10533826285_312_10" hidden="1">#REF!</definedName>
    <definedName name="TRNR_b9139e364ba640f6872dcd951e1b540d_61_2" hidden="1">#REF!</definedName>
    <definedName name="TRNR_b9180055bf834535ab590e1f1a287bca_61_2" hidden="1">#REF!</definedName>
    <definedName name="TRNR_b9189280890942ad874f5eecb3c8c680_61_2" hidden="1">#REF!</definedName>
    <definedName name="TRNR_b921063e27af4626a91d3c371d869c0e_61_2" hidden="1">#REF!</definedName>
    <definedName name="TRNR_b922635783284c94b26b157f70e7b0f1_61_2" hidden="1">#REF!</definedName>
    <definedName name="TRNR_b941a71e266847e69789f76043059d74_47_50" hidden="1">#REF!</definedName>
    <definedName name="TRNR_b942147dc5fd4e69ba839426a56f8ce6_61_2" hidden="1">#REF!</definedName>
    <definedName name="TRNR_b9521ff6b23640c8aec2f4879448ccf7_101_6" hidden="1">#REF!</definedName>
    <definedName name="TRNR_b9598ab74a8d4c039f210679cdcfb2a6_288_13" hidden="1">#REF!</definedName>
    <definedName name="TRNR_b969753e44184324a7b18f46dcdc053e_50_3" hidden="1">#REF!</definedName>
    <definedName name="TRNR_b96a101bc40c42998ceba6664170c490_61_2" hidden="1">#REF!</definedName>
    <definedName name="TRNR_b96d577ddcdb445588c8ed446c787908_61_2" hidden="1">#REF!</definedName>
    <definedName name="TRNR_b998a5ee82954c1b8ca73eea74d99a1f_61_2" hidden="1">'[1]Gráfico 66'!#REF!</definedName>
    <definedName name="TRNR_b9bdd6c4dd9a471c926f75fc7a9d7ae0_61_2" hidden="1">#REF!</definedName>
    <definedName name="TRNR_b9ce64da4345490bab22ee6bf50eacb6_6021_6" hidden="1">#REF!</definedName>
    <definedName name="TRNR_b9cfd60d0a7b472d8c5bd0b6835e9853_61_2" hidden="1">#REF!</definedName>
    <definedName name="TRNR_b9e173f1d5fe490fb67bc1bac263e8c5_319_16" hidden="1">#REF!</definedName>
    <definedName name="TRNR_b9ed8104fea54ed3867b3d7e14044e87_61_2" hidden="1">#REF!</definedName>
    <definedName name="TRNR_b9eec23ba540452ba2dfc9d66b41ed5c_6451_2" hidden="1">#REF!</definedName>
    <definedName name="TRNR_ba09f4bf48154f00bac5081429f3df89_61_2" hidden="1">#REF!</definedName>
    <definedName name="TRNR_ba0e9de63be24ee1b52c8b6c0d5c0ae2_61_2" hidden="1">#REF!</definedName>
    <definedName name="TRNR_ba118c74c76a4a6d956111796aa17efb_267_24" hidden="1">#REF!</definedName>
    <definedName name="TRNR_ba1888faeb0042e991d6c508a9a056f5_2876_3" hidden="1">#REF!</definedName>
    <definedName name="TRNR_ba306a95e1d84ae399947b72edeeaa69_527_2" hidden="1">#REF!</definedName>
    <definedName name="TRNR_ba338dce1a4b4cea8d90ec2c62fe4fe3_2049_6" hidden="1">#REF!</definedName>
    <definedName name="TRNR_ba3e57d0451e4e49a61146facff3defd_277_6" hidden="1">#REF!</definedName>
    <definedName name="TRNR_ba4b869c2dff4e5886ca16a93a858004_312_10" hidden="1">#REF!</definedName>
    <definedName name="TRNR_ba7fe3d27dd44433a287d92591e1ec6b_61_2" hidden="1">#REF!</definedName>
    <definedName name="TRNR_ba876b9b1b1445caa09f2144040a9350_528_7" hidden="1">#REF!</definedName>
    <definedName name="TRNR_ba9ab05d7b0e4325abdbe3816940535c_1180_27" hidden="1">#REF!</definedName>
    <definedName name="TRNR_ba9f836c6d0d453d8fec2c1c64b2237f_2081_6" hidden="1">#REF!</definedName>
    <definedName name="TRNR_baafc7ceb6714de9a4d06d7f6dc06968_277_6" hidden="1">#REF!</definedName>
    <definedName name="TRNR_bab872d4c8484ff69bcce81ba4ba70b3_58_3" hidden="1">#REF!</definedName>
    <definedName name="TRNR_baba2a19dc0e4e62b17bc610a461cf1e_282_13" hidden="1">#REF!</definedName>
    <definedName name="TRNR_bace047f817045028a703c753a0c8d51_61_2" hidden="1">#REF!</definedName>
    <definedName name="TRNR_badd848a31844f9c8fe552e29a6f49a0_61_2" hidden="1">#REF!</definedName>
    <definedName name="TRNR_bae51fc1c72d4e1b93b8b1299510883d_103_6" hidden="1">#REF!</definedName>
    <definedName name="TRNR_baf3bfbb64d74c1c81aa6790823323f0_61_2" hidden="1">#REF!</definedName>
    <definedName name="TRNR_baf48b2e4d8f47a28a56af9ef5b0adb1_524_1" hidden="1">#REF!</definedName>
    <definedName name="TRNR_bafa706d117b4400b9edffa091752e27_61_2" hidden="1">#REF!</definedName>
    <definedName name="TRNR_bb010fd216ac45519683320f8418108b_977_5" hidden="1">#REF!</definedName>
    <definedName name="TRNR_bb3782963368487ab59a835c6d65cf3f_61_2" hidden="1">'[1]Gráfico 66'!#REF!</definedName>
    <definedName name="TRNR_bb5b04cecc6a4efd8a202d45c5a8f2e1_61_2" hidden="1">#REF!</definedName>
    <definedName name="TRNR_bb5d34565c9743f6949be011182b4576_61_2" hidden="1">#REF!</definedName>
    <definedName name="TRNR_bb6a4689bb4846b0a08a103da2b28ca3_61_2" hidden="1">#REF!</definedName>
    <definedName name="TRNR_bb6bb56084f741d1bfb228eb68ce7d0f_5876_12" hidden="1">#REF!</definedName>
    <definedName name="TRNR_bb7875fa61a24dd3822e4f9fd732d88f_61_2" hidden="1">#REF!</definedName>
    <definedName name="TRNR_bb79ee45781b4c76badb857bd02014b6_25_6" hidden="1">#REF!</definedName>
    <definedName name="TRNR_bb7a055ee50247a7a8d2f0dbab4c4224_527_6" hidden="1">#REF!</definedName>
    <definedName name="TRNR_bbabc8bad50146fbb432d38f7c32887d_61_2" hidden="1">#REF!</definedName>
    <definedName name="TRNR_bbad5694d2174d3a97779e4bdb479523_977_3" hidden="1">#REF!</definedName>
    <definedName name="TRNR_bbdfdbd044474b108feb2e81d105fb1c_286_13" hidden="1">#REF!</definedName>
    <definedName name="TRNR_bc081e935b6b4325aac6c60ca1db1b62_100_6" hidden="1">#REF!</definedName>
    <definedName name="TRNR_bc120854e7a04b9aba6aba235b405925_6270_2" hidden="1">#REF!</definedName>
    <definedName name="TRNR_bc158616ddda4e3cb39e132585c2d6f9_61_2" hidden="1">#REF!</definedName>
    <definedName name="TRNR_bc336dc31c934a6b94836e506faef893_61_2" hidden="1">#REF!</definedName>
    <definedName name="TRNR_bc35cd459c2249b29ff13901accee8e7_61_2" hidden="1">'[1]Gráfico 66'!#REF!</definedName>
    <definedName name="TRNR_bc3c3a06b8f7494fb22cf283d5fc2d20_61_2" hidden="1">#REF!</definedName>
    <definedName name="TRNR_bc6f0cd987764ed49063a7b1db41b7c7_61_2" hidden="1">#REF!</definedName>
    <definedName name="TRNR_bc70788cca7c4aa4ad718c68e3670ba8_61_2" hidden="1">#REF!</definedName>
    <definedName name="TRNR_bc727eac8c274f74b8806c7ff7b33d4a_61_2" hidden="1">#REF!</definedName>
    <definedName name="TRNR_bc92701af19442968f2b276001a60e5b_1101_27" hidden="1">#REF!</definedName>
    <definedName name="TRNR_bc94975f67084e8e96eee8b3569ecd12_61_2" hidden="1">#REF!</definedName>
    <definedName name="TRNR_bc957370584b4d34a75bfdcd381f126b_528_7" hidden="1">#REF!</definedName>
    <definedName name="TRNR_bc9aaf1368244fe59dee53d256547a17_61_2" hidden="1">#REF!</definedName>
    <definedName name="TRNR_bcb9400f9c2041c4888eefd1ad52c503_5016_16" hidden="1">#REF!</definedName>
    <definedName name="TRNR_bceb5cbd22d34a1ba862d0505aa4505c_52_6" hidden="1">#REF!</definedName>
    <definedName name="TRNR_bced43584cef4935836dea2a851d5616_61_2" hidden="1">#REF!</definedName>
    <definedName name="TRNR_bcf7d50144a6445889ac78498e7cb008_61_2" hidden="1">#REF!</definedName>
    <definedName name="TRNR_bcf7eb03aec0432f8bb16149c53f1344_61_2" hidden="1">#REF!</definedName>
    <definedName name="TRNR_bd0406e64b804632824f42dc48ed08c8_5968_6" hidden="1">#REF!</definedName>
    <definedName name="TRNR_bd220362997a42e5b505ef65b19affe4_61_11" hidden="1">#REF!</definedName>
    <definedName name="TRNR_bd486d8682a24d0cb62056c652550241_61_2" hidden="1">#REF!</definedName>
    <definedName name="TRNR_bd6bbd38c917455695d74177201df26c_25_6" hidden="1">#REF!</definedName>
    <definedName name="TRNR_bd89f8995aee402d8fc47821907ab27c_61_2" hidden="1">#REF!</definedName>
    <definedName name="TRNR_bd8b84622f8245509f70e2023616eef8_61_2" hidden="1">#REF!</definedName>
    <definedName name="TRNR_bd8f7beb47e04753b36f677f0b79985c_61_2" hidden="1">#REF!</definedName>
    <definedName name="TRNR_bd91a1360d1e4221aebbd1596c6f2f53_61_2" hidden="1">#REF!</definedName>
    <definedName name="TRNR_bd9952330c5b41c78659039704042ed0_19_9" hidden="1">#REF!</definedName>
    <definedName name="TRNR_bda63b4a243a4ec6a364934fc0613adb_528_6" hidden="1">#REF!</definedName>
    <definedName name="TRNR_bdb488c6eaa94f528bc4ab0687a2db18_61_2" hidden="1">#REF!</definedName>
    <definedName name="TRNR_bdb78610a40544f9bb8a665f5c5ee16a_1_1" hidden="1">#REF!</definedName>
    <definedName name="TRNR_bdceea98a0294b4abd9658520d1573c1_5872_6" hidden="1">#REF!</definedName>
    <definedName name="TRNR_bdf215e2920c448996c2d677ccfb4355_525_10" hidden="1">#REF!</definedName>
    <definedName name="TRNR_bdf43e09c0414f17b5395ab5fbee61bc_61_2" hidden="1">#REF!</definedName>
    <definedName name="TRNR_be10e4008d8d45e892f11390265591b4_50_3" hidden="1">#REF!</definedName>
    <definedName name="TRNR_be1fdda3d640427fab877fefa60fab00_61_2" hidden="1">#REF!</definedName>
    <definedName name="TRNR_be2660bf786b4eeab345ffab9163117c_61_2" hidden="1">#REF!</definedName>
    <definedName name="TRNR_be34565426ee441bac475dd615e7ff50_61_2" hidden="1">#REF!</definedName>
    <definedName name="TRNR_be3c986fe347440d9aaeb732f664d18c_61_2" hidden="1">#REF!</definedName>
    <definedName name="TRNR_be5ec3f3345c47dfa369c98dc39576b9_61_2" hidden="1">#REF!</definedName>
    <definedName name="TRNR_be609c342d914a17b0e73cdcb6a51344_61_2" hidden="1">#REF!</definedName>
    <definedName name="TRNR_be742bb2dfac45728ff4dc91f22f7fa8_61_2" hidden="1">#REF!</definedName>
    <definedName name="TRNR_be8d5b4a4112420f865660fe77abfd97_61_2" hidden="1">#REF!</definedName>
    <definedName name="TRNR_be93fc73d6df428cbab338c44d3246a2_50_3" hidden="1">#REF!</definedName>
    <definedName name="TRNR_be9d812393d94d548acf779a274f8c19_61_2" hidden="1">#REF!</definedName>
    <definedName name="TRNR_bea0e668f6814aa988c4fe7412b85457_61_2" hidden="1">#REF!</definedName>
    <definedName name="TRNR_bea72f884e6e4eeab65dade1c130c884_45_3" hidden="1">#REF!</definedName>
    <definedName name="TRNR_bea8425cb3ca4810a561d44d3925d3cc_1026_27" hidden="1">#REF!</definedName>
    <definedName name="TRNR_beb7e9e09b5e439f9ea527df75cfdae2_528_6" hidden="1">#REF!</definedName>
    <definedName name="TRNR_bec8e058d83e4a41bc40df04b69ca12c_61_2" hidden="1">#REF!</definedName>
    <definedName name="TRNR_becd4acecca4448c814f93ef2b1eea4f_61_2" hidden="1">'[1]Gráfico 66'!#REF!</definedName>
    <definedName name="TRNR_bed3f2ae697b4d9cb8a11e53744f515b_2078_6" hidden="1">#REF!</definedName>
    <definedName name="TRNR_bed896c74f7e41a5ba6f054fcb17be08_58_2" hidden="1">#REF!</definedName>
    <definedName name="TRNR_bee2815ae4f445cb81eb972292100128_61_2" hidden="1">#REF!</definedName>
    <definedName name="TRNR_bee79c2c0e03400eac18cb6e49d1b6f4_528_6" hidden="1">#REF!</definedName>
    <definedName name="TRNR_bf05bb749e8c4406aefa47c59752f942_5_2" hidden="1">#REF!</definedName>
    <definedName name="TRNR_bf083960361347d7bcdcc6466170041d_61_2" hidden="1">#REF!</definedName>
    <definedName name="TRNR_bf0b65b92dd34a76b7ad0fb9df5fb6c2_61_2" hidden="1">#REF!</definedName>
    <definedName name="TRNR_bf14a1d212cc4d97b4918c2bf4d2f6c4_528_6" hidden="1">#REF!</definedName>
    <definedName name="TRNR_bf16a7bc384a4717847fda05c46e7dc6_61_2" hidden="1">#REF!</definedName>
    <definedName name="TRNR_bf16b0fdce6a4a6693b27121f42acb6f_61_2" hidden="1">'[1]Gráfico 66'!#REF!</definedName>
    <definedName name="TRNR_bf43a6ba9ff54d06b646deb6f7d502b5_61_2" hidden="1">#REF!</definedName>
    <definedName name="TRNR_bf45dd50a99e462fb2daa616a0fc18da_61_2" hidden="1">#REF!</definedName>
    <definedName name="TRNR_bf4cc260ff0d4a529122723427be209a_61_2" hidden="1">#REF!</definedName>
    <definedName name="TRNR_bf7074dafb744bcb8aeb2554bfdaed65_61_2" hidden="1">#REF!</definedName>
    <definedName name="TRNR_bf8205cc53894786b0b3ac2ab5174c6f_977_2" hidden="1">#REF!</definedName>
    <definedName name="TRNR_bf86ee9cbe464eca837a3430b1eb2cba_528_7" hidden="1">#REF!</definedName>
    <definedName name="TRNR_bf8b680627bd47e7b1323479bd0490a2_61_2" hidden="1">#REF!</definedName>
    <definedName name="TRNR_bf9165c608644ce9ae496e3031b00558_61_2" hidden="1">#REF!</definedName>
    <definedName name="TRNR_bf9ab8497eb44bfc8613c00382ae839b_61_2" hidden="1">#REF!</definedName>
    <definedName name="TRNR_bfeb4ac32cbd4a49982e9838104f2bfa_528_7" hidden="1">#REF!</definedName>
    <definedName name="TRNR_c0011980581c434ea2302d583a0d450a_5871_6" hidden="1">#REF!</definedName>
    <definedName name="TRNR_c01ff7e8328e4464975ceab969f2ab51_2105_6" hidden="1">#REF!</definedName>
    <definedName name="TRNR_c021ad7ba18c4b05a4211ac7bc5393c6_525_10" hidden="1">#REF!</definedName>
    <definedName name="TRNR_c036f0ed3f6546378d2432596de259f5_61_2" hidden="1">#REF!</definedName>
    <definedName name="TRNR_c04205f5fca04e8cbef510c6fa76f21c_5993_6" hidden="1">#REF!</definedName>
    <definedName name="TRNR_c05fa9498ea14e2ab6dedd393387db5d_50_5" hidden="1">#REF!</definedName>
    <definedName name="TRNR_c065f8e8939040618dd7c702df0765fd_977_20" hidden="1">#REF!</definedName>
    <definedName name="TRNR_c0672e679d904383981de2372c5a9b11_61_2" hidden="1">#REF!</definedName>
    <definedName name="TRNR_c0819aa31b8145f29e4cbd910333560d_61_2" hidden="1">#REF!</definedName>
    <definedName name="TRNR_c08ff7764a5549afbd8c948b34cc4791_61_2" hidden="1">#REF!</definedName>
    <definedName name="TRNR_c098715ed1da406faeea4ff1019ff14d_61_2" hidden="1">#REF!</definedName>
    <definedName name="TRNR_c09a879c41e040cfba76b91a554f5013_61_2" hidden="1">#REF!</definedName>
    <definedName name="TRNR_c09b6b83a033402c96697cfd141856ff_286_13" hidden="1">#REF!</definedName>
    <definedName name="TRNR_c0c11f0cba1b450ebdb0798d3ee0ce67_61_2" hidden="1">#REF!</definedName>
    <definedName name="TRNR_c0d34e99e0ce454585df43101c49309e_62_36" hidden="1">#REF!</definedName>
    <definedName name="TRNR_c10393e9c18a4da9b5ee7c42381d2bcd_61_2" hidden="1">#REF!</definedName>
    <definedName name="TRNR_c12d16aece97474791667f58459bb282_1170_27" hidden="1">#REF!</definedName>
    <definedName name="TRNR_c1343e899cac42fa81bd8b9e5e0cd1b2_99_6" hidden="1">#REF!</definedName>
    <definedName name="TRNR_c13e03e8cea44cdd9acb7e7380c13da6_61_2" hidden="1">#REF!</definedName>
    <definedName name="TRNR_c171a6f5ddc3453d9596c08224d9065b_62_11" hidden="1">#REF!</definedName>
    <definedName name="TRNR_c1788917065f401b84182dc93b09ec3b_61_1" hidden="1">#REF!</definedName>
    <definedName name="TRNR_c181252ff3cb4190b4b14b29b56dbec6_20_4" hidden="1">#REF!</definedName>
    <definedName name="TRNR_c18e11b57ad64302870e5308aa94799d_2108_6" hidden="1">#REF!</definedName>
    <definedName name="TRNR_c1937b84a7d64b1bad30d65c48dacee1_61_2" hidden="1">#REF!</definedName>
    <definedName name="TRNR_c1c936550323451c8b8f8eceb30b0b9c_525_10" hidden="1">#REF!</definedName>
    <definedName name="TRNR_c1cc482bc47b41eeac98317d383ed26e_53_1" hidden="1">#REF!</definedName>
    <definedName name="TRNR_c1d4ce7b52df4e1582dcca94565a4bfd_61_2" hidden="1">#REF!</definedName>
    <definedName name="TRNR_c1e091ebfc654d2a87018ff130925c03_61_2" hidden="1">#REF!</definedName>
    <definedName name="TRNR_c1fa5ab401cf424da0075d3e1e5a53af_2115_6" hidden="1">#REF!</definedName>
    <definedName name="TRNR_c207d28570b143148932eb44bc9b73b9_61_2" hidden="1">#REF!</definedName>
    <definedName name="TRNR_c2211df5502048bc9c28d7dd24da04a2_61_2" hidden="1">#REF!</definedName>
    <definedName name="TRNR_c2247fe4273a476386059c82530065f0_20_4" hidden="1">#REF!</definedName>
    <definedName name="TRNR_c23a04185d4443aa9932b81e200cf481_309_16" hidden="1">#REF!</definedName>
    <definedName name="TRNR_c246f57d5e204c1a9505b5bbf9431e4f_998_27" hidden="1">#REF!</definedName>
    <definedName name="TRNR_c24a75481b7d4bc3867328932dd39d68_4914_8" hidden="1">#REF!</definedName>
    <definedName name="TRNR_c2532de3687748d3abff3b38d04e3e6b_26_38" hidden="1">#REF!</definedName>
    <definedName name="TRNR_c26ec85706b14b75945a1e5d1f4ee148_61_2" hidden="1">#REF!</definedName>
    <definedName name="TRNR_c26f0882862a40e89a99a34be1b80ef9_61_2" hidden="1">#REF!</definedName>
    <definedName name="TRNR_c273f198df51418a92154f7f983c893b_61_2" hidden="1">#REF!</definedName>
    <definedName name="TRNR_c276af12e07b413f8893c4fb3f3ee0b6_523_3" hidden="1">#REF!</definedName>
    <definedName name="TRNR_c2a2998519284f8d95ee81c00751de27_61_2" hidden="1">#REF!</definedName>
    <definedName name="TRNR_c2ae5e88ddc84c0aa79042f54576acd6_100_6" hidden="1">#REF!</definedName>
    <definedName name="TRNR_c2cad15ad69e4105bf440115e15c49ed_61_2" hidden="1">#REF!</definedName>
    <definedName name="TRNR_c2ccb62bb18647389062fe24ac53e9fd_316_16" hidden="1">#REF!</definedName>
    <definedName name="TRNR_c2d8c770af374fd2ae776a3d726d2207_61_2" hidden="1">'[1]Gráfico 66'!#REF!</definedName>
    <definedName name="TRNR_c2dd488a1b684d1c81d5d72d6c2ce335_9_6" hidden="1">#REF!</definedName>
    <definedName name="TRNR_c2de3fec65b748e5b3c7252b3196af86_40_37" hidden="1">#REF!</definedName>
    <definedName name="TRNR_c2e4de9ca0dd4f719c52329196f86ad2_61_6" hidden="1">#REF!</definedName>
    <definedName name="TRNR_c2ec27eec33e45c480b2b230e7d8840e_61_2" hidden="1">#REF!</definedName>
    <definedName name="TRNR_c2ee8092c94b46aab6d2a3f54cc7ebc0_61_2" hidden="1">#REF!</definedName>
    <definedName name="TRNR_c31b77682a864d4893535837aa8253a6_61_2" hidden="1">#REF!</definedName>
    <definedName name="TRNR_c327de48bad649ecbf2d1280a190efca_977_2" hidden="1">#REF!</definedName>
    <definedName name="TRNR_c3328e64a458468d9b08b5019ad9e987_61_2" hidden="1">#REF!</definedName>
    <definedName name="TRNR_c34a4a3173ee476b9ccd08d7b895bf7a_61_2" hidden="1">#REF!</definedName>
    <definedName name="TRNR_c351eab472bb451fbf0f58802c52cc08_286_6" hidden="1">#REF!</definedName>
    <definedName name="TRNR_c35d4052d56e4b62a12f93e9a208d8c3_61_2" hidden="1">#REF!</definedName>
    <definedName name="TRNR_c35f68adb52a4ceb907f979dc4f64461_61_2" hidden="1">#REF!</definedName>
    <definedName name="TRNR_c360edbdacad4ce9a492789536034609_61_2" hidden="1">#REF!</definedName>
    <definedName name="TRNR_c3675a9690c94551b1e02038bd41bc97_61_2" hidden="1">#REF!</definedName>
    <definedName name="TRNR_c386565777d74cbcb1e657540c94e295_61_2" hidden="1">#REF!</definedName>
    <definedName name="TRNR_c389dbde9b324781a40f79c7a12a4dba_61_2" hidden="1">#REF!</definedName>
    <definedName name="TRNR_c3a1c272ccc24def843b3a85c7a5e0c9_61_2" hidden="1">#REF!</definedName>
    <definedName name="TRNR_c3a622e134754cad815011177090bfec_61_2" hidden="1">#REF!</definedName>
    <definedName name="TRNR_c3b18e6091534390804e4ac914ed5bca_61_2" hidden="1">#REF!</definedName>
    <definedName name="TRNR_c3c60ab4b05042f5b6eaad5c153ede73_61_2" hidden="1">#REF!</definedName>
    <definedName name="TRNR_c3cb4475f4474e17bd0eca555dceb822_109_3" hidden="1">#REF!</definedName>
    <definedName name="TRNR_c3cd248c4f8a4e719512bfe2992ea758_285_13" hidden="1">#REF!</definedName>
    <definedName name="TRNR_c3daf7a3f2344d18a4746f2cd4aaf78b_61_2" hidden="1">#REF!</definedName>
    <definedName name="TRNR_c3dfff93556d4916987814f457f2d6ff_61_2" hidden="1">#REF!</definedName>
    <definedName name="TRNR_c3e5622e5a2d42d683f9afc45769847d_61_2" hidden="1">#REF!</definedName>
    <definedName name="TRNR_c3f0d060341e4d2195e8254340ac9813_6336_2" hidden="1">#REF!</definedName>
    <definedName name="TRNR_c3f5c3c4efe74d418eefd1dbbd0e1497_61_2" hidden="1">#REF!</definedName>
    <definedName name="TRNR_c4020b1236604456bdce8e7a075e841c_61_2" hidden="1">#REF!</definedName>
    <definedName name="TRNR_c410166e57884f1db03762fd57639fc9_61_2" hidden="1">#REF!</definedName>
    <definedName name="TRNR_c415f9da95824377a8f14114c49e47b9_5765_8" hidden="1">#REF!</definedName>
    <definedName name="TRNR_c424e9576d9b4e34ad4771c9d4716cd5_5868_6" hidden="1">#REF!</definedName>
    <definedName name="TRNR_c42abf0dd7aa47baadae7d4b2aed2459_61_2" hidden="1">#REF!</definedName>
    <definedName name="TRNR_c432b5c522e8444297adb9aba5dc1ba6_61_2" hidden="1">#REF!</definedName>
    <definedName name="TRNR_c434096148e64437908f724a469163c5_61_2" hidden="1">#REF!</definedName>
    <definedName name="TRNR_c435d9990c574ee690f906612a3dc919_61_2" hidden="1">#REF!</definedName>
    <definedName name="TRNR_c43d1c24e28c4b3099968a4853212583_286_13" hidden="1">#REF!</definedName>
    <definedName name="TRNR_c44bb636fd534d66971d0d2f17937e68_73_11" hidden="1">#REF!</definedName>
    <definedName name="TRNR_c44e758457a14199b269b12a86bb0c56_9_6" hidden="1">#REF!</definedName>
    <definedName name="TRNR_c455d463e1b242e4a311104fd5a41e2d_47_50" hidden="1">#REF!</definedName>
    <definedName name="TRNR_c46bf8060e5c490c99fea5ea52f9a095_55_3" hidden="1">#REF!</definedName>
    <definedName name="TRNR_c48a95e127f547419d613fbe119e2ff7_524_9" hidden="1">#REF!</definedName>
    <definedName name="TRNR_c48d2fd25bb141049f087932885cdde5_5894_6" hidden="1">#REF!</definedName>
    <definedName name="TRNR_c49161aedf7a409ea790d3bcb7f96e43_61_2" hidden="1">#REF!</definedName>
    <definedName name="TRNR_c491f4f5a6f14671ba33e6a6d47e90c7_285_2" hidden="1">#REF!</definedName>
    <definedName name="TRNR_c4920be219a949e2ac06ec28cdbb03c1_61_2" hidden="1">#REF!</definedName>
    <definedName name="TRNR_c4bb326f417c4f2295a8676f071cbe9a_138_3" hidden="1">#REF!</definedName>
    <definedName name="TRNR_c4bdd17746d742c89344468039df5d90_61_2" hidden="1">#REF!</definedName>
    <definedName name="TRNR_c4bfbebc136149dca866205b122b6a8b_528_6" hidden="1">#REF!</definedName>
    <definedName name="TRNR_c4d87c1f985944da924c84f89b8fcb8f_47_6" hidden="1">#REF!</definedName>
    <definedName name="TRNR_c4eaff2e06a44302b87cd7c7ff488ef2_527_6" hidden="1">#REF!</definedName>
    <definedName name="TRNR_c4eb7a7106084a0d8c4a2ee4ef73e07b_61_2" hidden="1">#REF!</definedName>
    <definedName name="TRNR_c4f8509283994d29bde99a58bac4ceca_527_6" hidden="1">#REF!</definedName>
    <definedName name="TRNR_c51166d816d74363908deef3fd590d8d_61_2" hidden="1">#REF!</definedName>
    <definedName name="TRNR_c514d19487944d54a67c7d184b65478e_61_2" hidden="1">#REF!</definedName>
    <definedName name="TRNR_c52e1f0ca83f4ecf906945e2ef9675e1_5862_4" hidden="1">#REF!</definedName>
    <definedName name="TRNR_c5622a36da47418289abe849c24d11aa_61_2" hidden="1">#REF!</definedName>
    <definedName name="TRNR_c578edeff1f54c3dac37b7774548ab5f_61_2" hidden="1">#REF!</definedName>
    <definedName name="TRNR_c5acfb81bd8d4e2a905ab3d0fac2b566_61_2" hidden="1">#REF!</definedName>
    <definedName name="TRNR_c5bf8901efbd4201bf2b604d5e8ec829_61_2" hidden="1">'[1]Gráfico 66'!#REF!</definedName>
    <definedName name="TRNR_c5d5535decdd48d19309a7d3e3227740_61_2" hidden="1">#REF!</definedName>
    <definedName name="TRNR_c5daba5d7aae4413b2620c31655fa6c2_73_11" hidden="1">#REF!</definedName>
    <definedName name="TRNR_c5dcb8f60a2b439da227170a1af62f51_61_2" hidden="1">#REF!</definedName>
    <definedName name="TRNR_c600eb8dd7cc468da3e7e2a83f131c6e_61_2" hidden="1">#REF!</definedName>
    <definedName name="TRNR_c60297413dbf40e2ad2b4d047e04b370_61_2" hidden="1">#REF!</definedName>
    <definedName name="TRNR_c609c8f2eafe42f2a808b7dc625ac2d0_6101_2" hidden="1">#REF!</definedName>
    <definedName name="TRNR_c62325d965c4438c988dab21f5c124b0_61_2" hidden="1">#REF!</definedName>
    <definedName name="TRNR_c624547124e241e496e22244f504cdd2_102_6" hidden="1">#REF!</definedName>
    <definedName name="TRNR_c63738ea15c0425a933f9df1a6735d4b_528_6" hidden="1">#REF!</definedName>
    <definedName name="TRNR_c63f524075d14f0faf7f56c6c83b0865_86_10" hidden="1">#REF!</definedName>
    <definedName name="TRNR_c6434295c43d459b861b2d751391e3d1_61_2" hidden="1">#REF!</definedName>
    <definedName name="TRNR_c6490f516c044db2908d0b802cb54ada_101_6" hidden="1">#REF!</definedName>
    <definedName name="TRNR_c64e2bb0489a40c198bf64cb75683aa3_46_1" hidden="1">#REF!</definedName>
    <definedName name="TRNR_c66b5c7556034e6e8de47dc2249bea5c_61_2" hidden="1">#REF!</definedName>
    <definedName name="TRNR_c670ac4d28cb4be28efcaa47bd6617bd_138_3" hidden="1">#REF!</definedName>
    <definedName name="TRNR_c6782e29d89643cfa31112f2829ca0f7_61_2" hidden="1">'[1]Gráfico 66'!#REF!</definedName>
    <definedName name="TRNR_c6873cf201db4cf888b74a7033a00dc8_61_2" hidden="1">#REF!</definedName>
    <definedName name="TRNR_c699d60258cc4daf81fddb8a4f2e1a24_528_6" hidden="1">#REF!</definedName>
    <definedName name="TRNR_c69e69eff55e4980a3649ffde6d6e4d5_61_2" hidden="1">#REF!</definedName>
    <definedName name="TRNR_c6aacb9ede48481593f6be3b372aed06_61_2" hidden="1">#REF!</definedName>
    <definedName name="TRNR_c6c785b675124500bf28041940d2ecee_61_2" hidden="1">#REF!</definedName>
    <definedName name="TRNR_c6d3efce0eac442a96790fd7f0755ef9_61_2" hidden="1">#REF!</definedName>
    <definedName name="TRNR_c6d669ac226e4f1088f5dc376287ceb0_61_2" hidden="1">#REF!</definedName>
    <definedName name="TRNR_c6e3079c492347d986f3c5b55740f556_61_2" hidden="1">#REF!</definedName>
    <definedName name="TRNR_c6e56433a6994e1084c7e09bb07d674a_61_2" hidden="1">#REF!</definedName>
    <definedName name="TRNR_c6ede2e7d25d4244a4263e0d28fd8ef9_61_2" hidden="1">#REF!</definedName>
    <definedName name="TRNR_c6fa18a6d96b437b9fbb6542d93cf707_20_4" hidden="1">#REF!</definedName>
    <definedName name="TRNR_c7111bc123644ddb90e938a46b6edcf5_61_2" hidden="1">#REF!</definedName>
    <definedName name="TRNR_c73045dc66d546bb950543fc3fd5e0e9_61_2" hidden="1">#REF!</definedName>
    <definedName name="TRNR_c7334e65d4134b54ae42724959d99247_61_2" hidden="1">#REF!</definedName>
    <definedName name="TRNR_c7385c0479fb460786ace91cad7a517a_528_6" hidden="1">#REF!</definedName>
    <definedName name="TRNR_c75f1e37b5e64995b54e447576446a48_59_3" hidden="1">#REF!</definedName>
    <definedName name="TRNR_c766b9f070e2436f8ba6ce4252317ef3_528_7" hidden="1">#REF!</definedName>
    <definedName name="TRNR_c76e8cf6cc7a49b0a88434e21eb08cc3_61_2" hidden="1">#REF!</definedName>
    <definedName name="TRNR_c7871e04cecd4c339e81451d0f441f46_528_6" hidden="1">#REF!</definedName>
    <definedName name="TRNR_c7983b3984cb41aa80b9f69527b77252_528_6" hidden="1">#REF!</definedName>
    <definedName name="TRNR_c7a33c7d43c74c0185c38a72202dab53_62_129" hidden="1">#REF!</definedName>
    <definedName name="TRNR_c7a4f0c6d76f4d6b86a9a8b7000a2566_33_2" hidden="1">#REF!</definedName>
    <definedName name="TRNR_c7aaede888fe4a6b8f7f33aedcf09b5a_61_2" hidden="1">#REF!</definedName>
    <definedName name="TRNR_c7ad6b49054a452598a525b627ac07bf_61_2" hidden="1">#REF!</definedName>
    <definedName name="TRNR_c7b556dcdf5d478bb2fb83a6cf17953f_61_2" hidden="1">#REF!</definedName>
    <definedName name="TRNR_c7bbf4d862284b81bc7c46143521dd10_61_2" hidden="1">#REF!</definedName>
    <definedName name="TRNR_c7bdb60f689c4fa4a73034f8374016bf_61_2" hidden="1">#REF!</definedName>
    <definedName name="TRNR_c7c2c860e53c429fbcda25897ada9721_61_2" hidden="1">#REF!</definedName>
    <definedName name="TRNR_c7f4ccdb7ccd424d9f8e460a65687258_61_2" hidden="1">#REF!</definedName>
    <definedName name="TRNR_c802b1465d2d442c81e4463a4231380d_99_6" hidden="1">#REF!</definedName>
    <definedName name="TRNR_c8050a3e0d154baebb136347a9944f01_61_2" hidden="1">#REF!</definedName>
    <definedName name="TRNR_c817c75c7fce46e2a780cf3ad1b036c0_61_2" hidden="1">#REF!</definedName>
    <definedName name="TRNR_c81e1060905744688089235c176231d6_68_2" hidden="1">#REF!</definedName>
    <definedName name="TRNR_c82ee3c5fb914628b4d95d6441e7bd07_61_2" hidden="1">#REF!</definedName>
    <definedName name="TRNR_c8387e02a7e34708a444591163265864_61_2" hidden="1">#REF!</definedName>
    <definedName name="TRNR_c84312ec5a6c4b658a08026d8fedc170_61_2" hidden="1">#REF!</definedName>
    <definedName name="TRNR_c85e39666c874f6d9322a59fe144bb2c_2119_6" hidden="1">#REF!</definedName>
    <definedName name="TRNR_c87b99bb1d5f4f4c930618f48c99047d_5983_6" hidden="1">#REF!</definedName>
    <definedName name="TRNR_c88c2be1ea55437c9bf62ac7895e3512_61_2" hidden="1">#REF!</definedName>
    <definedName name="TRNR_c88dc73bb9004d54b945905aa3d39bed_5835_12" hidden="1">#REF!</definedName>
    <definedName name="TRNR_c894d6eec88b4abc95deb6002de53d7a_61_2" hidden="1">#REF!</definedName>
    <definedName name="TRNR_c8ae8f24a0c64bb0b73076125022c4a1_50_2" hidden="1">#REF!</definedName>
    <definedName name="TRNR_c8b0e287d28c46c0b892c810702fac3d_528_7" hidden="1">#REF!</definedName>
    <definedName name="TRNR_c8ccabe55ad24eb5ba39518568613b7f_61_2" hidden="1">#REF!</definedName>
    <definedName name="TRNR_c8d0afffdd80402e8b47cdc906c9d7a9_62_11" hidden="1">#REF!</definedName>
    <definedName name="TRNR_c8d146abc96644ba89916ada90ff029a_61_2" hidden="1">'[1]Gráfico 66'!#REF!</definedName>
    <definedName name="TRNR_c8db9575a0ae48d8aa26adcfaef6f566_61_2" hidden="1">#REF!</definedName>
    <definedName name="TRNR_c8e8d318c88142398710fc6b59b532ca_61_12" hidden="1">#REF!</definedName>
    <definedName name="TRNR_c9003497829e4ce6b5f2da424be4fe79_61_2" hidden="1">#REF!</definedName>
    <definedName name="TRNR_c905233116074f1c8bb65ba6edf85dde_1_1" hidden="1">#REF!</definedName>
    <definedName name="TRNR_c912e185849b4a7785bf8449f9d47289_61_2" hidden="1">#REF!</definedName>
    <definedName name="TRNR_c938bbb2659a404ebf002314358bdfc6_528_6" hidden="1">#REF!</definedName>
    <definedName name="TRNR_c9440a190d6147bab4ae285510bac8f6_5855_12" hidden="1">#REF!</definedName>
    <definedName name="TRNR_c951cc90d373425b8671f150569cd3da_93_9" hidden="1">#REF!</definedName>
    <definedName name="TRNR_c954a96efa0e4699909560f5a933a4e6_61_2" hidden="1">#REF!</definedName>
    <definedName name="TRNR_c95a2ebb3b334d2f96e37957aaeed497_61_2" hidden="1">#REF!</definedName>
    <definedName name="TRNR_c96981c8da6e41208f5289702d3c7991_61_2" hidden="1">#REF!</definedName>
    <definedName name="TRNR_c9767a8b5fe44039b0005f717a8935b4_61_2" hidden="1">#REF!</definedName>
    <definedName name="TRNR_c98106c876ca429fae2469f692c576f5_61_2" hidden="1">#REF!</definedName>
    <definedName name="TRNR_c98fca95ceb645b39eb7d56343ada3c3_61_2" hidden="1">#REF!</definedName>
    <definedName name="TRNR_c99ddf7a071d4bfd898af5b1be4899b6_61_2" hidden="1">#REF!</definedName>
    <definedName name="TRNR_c99f1f921ae6471fb9a956633ef4e3ab_61_2" hidden="1">#REF!</definedName>
    <definedName name="TRNR_c9ad92fab8754b8383a6978e43551620_61_2" hidden="1">'[1]Gráfico 66'!#REF!</definedName>
    <definedName name="TRNR_c9b98bfcb8814c7cb55664dafcc5b1f9_9_6" hidden="1">#REF!</definedName>
    <definedName name="TRNR_c9baf216989d40b68f1dafb9b1747bb3_25_6" hidden="1">#REF!</definedName>
    <definedName name="TRNR_c9c0d65365c24c2982708926278c4e65_5923_6" hidden="1">#REF!</definedName>
    <definedName name="TRNR_c9d71605cb3b40628386ed5bc0d2c938_26_6" hidden="1">#REF!</definedName>
    <definedName name="TRNR_c9f19cddbf6643bb9f9c0e693d7613ba_61_2" hidden="1">#REF!</definedName>
    <definedName name="TRNR_ca427ebfa12f4044853bf5a4f53e5375_6143_2" hidden="1">#REF!</definedName>
    <definedName name="TRNR_ca43024acbff436b97a4e99a27ac9f00_528_6" hidden="1">#REF!</definedName>
    <definedName name="TRNR_ca4dec03b03042e7b654fe3f50537479_61_2" hidden="1">#REF!</definedName>
    <definedName name="TRNR_ca7a0231346048db96ab7bbb5729f58d_61_2" hidden="1">#REF!</definedName>
    <definedName name="TRNR_ca8433e83e254ead8ebdc5265151ff45_61_2" hidden="1">#REF!</definedName>
    <definedName name="TRNR_caac90e0b5404cada3e3b0cafc303611_62_11" hidden="1">#REF!</definedName>
    <definedName name="TRNR_cababf600aab42bd966cd06076471af4_104_6" hidden="1">#REF!</definedName>
    <definedName name="TRNR_cac7103e4ab7419a91954b95c3d4c8a2_61_2" hidden="1">#REF!</definedName>
    <definedName name="TRNR_cacf381f942a4e11afa7fe17e5897e75_61_2" hidden="1">#REF!</definedName>
    <definedName name="TRNR_cad2a39f80294b76a505e17abc1d4327_61_2" hidden="1">#REF!</definedName>
    <definedName name="TRNR_cb0a78fcd4cb41b1852471062282f724_61_2" hidden="1">#REF!</definedName>
    <definedName name="TRNR_cb2b87466caf4a32a690a3dcf1965703_61_2" hidden="1">#REF!</definedName>
    <definedName name="TRNR_cb4762cf657d402db1b690af227573e1_103_6" hidden="1">#REF!</definedName>
    <definedName name="TRNR_cb78a42ecf334281ba5ab717ca721158_61_2" hidden="1">#REF!</definedName>
    <definedName name="TRNR_cb7e92ee13974f76aff8f8648ad2d31b_40_6" hidden="1">#REF!</definedName>
    <definedName name="TRNR_cb80d02622cb466999d670b21eb42868_5878_12" hidden="1">#REF!</definedName>
    <definedName name="TRNR_cb9d14e5afb0433d8bd93a54c516b0a5_524_1" hidden="1">#REF!</definedName>
    <definedName name="TRNR_cb9d7b6200aa4d95b245ee42042c2a02_61_11" hidden="1">#REF!</definedName>
    <definedName name="TRNR_cb9e853dc96346ca90210de764157fcc_1224_27" hidden="1">#REF!</definedName>
    <definedName name="TRNR_cbaa7f40e20f41809bae79ac728293bc_61_2" hidden="1">#REF!</definedName>
    <definedName name="TRNR_cbb45144c69c4ba99772bbe8fc5c6b64_61_2" hidden="1">#REF!</definedName>
    <definedName name="TRNR_cbb9539a76f145c9be16bfb96416656e_30_24" hidden="1">#REF!</definedName>
    <definedName name="TRNR_cbbb02beb09c4cff814a542485d31e90_4108_1" hidden="1">#REF!</definedName>
    <definedName name="TRNR_cbc0a3045c8e4e20986043ec1058ca49_267_24" hidden="1">#REF!</definedName>
    <definedName name="TRNR_cbd997e0fced47aab137a398e1321e55_61_2" hidden="1">#REF!</definedName>
    <definedName name="TRNR_cbdc7eb296fd4393bf4d9e2219ac3068_61_2" hidden="1">#REF!</definedName>
    <definedName name="TRNR_cbe632ca1d0f483c8066834bb292fc0f_61_2" hidden="1">#REF!</definedName>
    <definedName name="TRNR_cbee21e41c5342e4882e1bdfd2ec324b_314_10" hidden="1">#REF!</definedName>
    <definedName name="TRNR_cbf9fa1b69444d25bb79c6a6f6e9d7d7_528_7" hidden="1">#REF!</definedName>
    <definedName name="TRNR_cc128b097af24e2badb03e2ce367365b_61_2" hidden="1">#REF!</definedName>
    <definedName name="TRNR_cc220c48420740378e5e9958415e12ff_61_2" hidden="1">'[1]Gráfico 66'!#REF!</definedName>
    <definedName name="TRNR_cc24770305ba4b9ebf9bae858a3fd35b_285_1" hidden="1">#REF!</definedName>
    <definedName name="TRNR_cc2684cbb5364ed387d257eb3b9d0637_61_2" hidden="1">#REF!</definedName>
    <definedName name="TRNR_cc3b13265c3342b8974bb1a9f5b55ee8_98_6" hidden="1">#REF!</definedName>
    <definedName name="TRNR_cc3d2835b48e4c47812f509ca78634fb_61_2" hidden="1">#REF!</definedName>
    <definedName name="TRNR_cc6182019d1c447b9b0efc5eafd573e0_61_2" hidden="1">#REF!</definedName>
    <definedName name="TRNR_cc8d711da3854e77b4e38b3fbb33b9c5_61_2" hidden="1">#REF!</definedName>
    <definedName name="TRNR_cca002db96f94eee85c422bb632c9352_61_2" hidden="1">#REF!</definedName>
    <definedName name="TRNR_ccaf7e8ad69b40668d7c0c8c94094aa4_61_6" hidden="1">#REF!</definedName>
    <definedName name="TRNR_ccb934235886465a9ff6eb577f51b16b_20_4" hidden="1">#REF!</definedName>
    <definedName name="TRNR_ccc8df3f54f546e3b059e365bada0186_192_3" hidden="1">#REF!</definedName>
    <definedName name="TRNR_ccec434dc3504500b330be56a5b7087b_61_2" hidden="1">#REF!</definedName>
    <definedName name="TRNR_ccf23691379c4b20a2e5ef44d2a1b9ca_61_2" hidden="1">#REF!</definedName>
    <definedName name="TRNR_cd026be71671427bbfa6bae3fab87e36_61_2" hidden="1">#REF!</definedName>
    <definedName name="TRNR_cd13826bccc249a883f71128455886a0_2042_6" hidden="1">#REF!</definedName>
    <definedName name="TRNR_cd25265747f7424cb5eb38535f590e8f_6891_3" hidden="1">#REF!</definedName>
    <definedName name="TRNR_cd2a42432f4541c9a8ba8e6f8daccd59_107_3" hidden="1">#REF!</definedName>
    <definedName name="TRNR_cd39b68ce25242688aa5a262b2bb90d2_50_2" hidden="1">#REF!</definedName>
    <definedName name="TRNR_cd3a3e1f9bb74faea534ef021b08f898_528_6" hidden="1">#REF!</definedName>
    <definedName name="TRNR_cd3f752ec0c74443a171f5990cb4539d_61_2" hidden="1">#REF!</definedName>
    <definedName name="TRNR_cd5e49fa83a64a6b9ec219d4fab08d8d_282_26" hidden="1">#REF!</definedName>
    <definedName name="TRNR_cd64f840f8ac4cf7a7c836ae436497ba_5851_6" hidden="1">#REF!</definedName>
    <definedName name="TRNR_cd693a58a499422798b9a5f9473285fd_282_6" hidden="1">#REF!</definedName>
    <definedName name="TRNR_cd8f5c3193b44f42840fd2ee02267682_61_2" hidden="1">#REF!</definedName>
    <definedName name="TRNR_cd9c1634b7754414a3ca80af3cca65e3_61_2" hidden="1">#REF!</definedName>
    <definedName name="TRNR_cd9cd24f12254706ac13e85aff5b6d34_9_6" hidden="1">#REF!</definedName>
    <definedName name="TRNR_cdbbac8d26414e9fab603a376fe00d79_287_13" hidden="1">#REF!</definedName>
    <definedName name="TRNR_cde8722e3da546d7aa3766fd7acd445b_52_3" hidden="1">#REF!</definedName>
    <definedName name="TRNR_cdecf11bc01446a09a1aba59550dfdb8_528_6" hidden="1">#REF!</definedName>
    <definedName name="TRNR_cdedad3cb7284a549c82ed58b804979a_61_2" hidden="1">'[1]Gráfico 66'!#REF!</definedName>
    <definedName name="TRNR_cdfc4f08e9564812878c28fc4e6b68b9_62_11" hidden="1">#REF!</definedName>
    <definedName name="TRNR_ce00427a246e4154839319f4b39e41b4_61_2" hidden="1">#REF!</definedName>
    <definedName name="TRNR_ce12811ecbd64b119da810f8c1b3e1e2_61_2" hidden="1">'[1]Gráfico 66'!#REF!</definedName>
    <definedName name="TRNR_ce2a26c3dfcc4441b6fb7799d39d00c2_61_2" hidden="1">#REF!</definedName>
    <definedName name="TRNR_ce411491bb7945e5a6e2473f64eb94be_61_2" hidden="1">#REF!</definedName>
    <definedName name="TRNR_ce573fc876d74849911825baf2a535b2_5808_12" hidden="1">#REF!</definedName>
    <definedName name="TRNR_ce7006cf85d640598a3cd6243f5ea7bf_61_2" hidden="1">#REF!</definedName>
    <definedName name="TRNR_ce723e26acde4668bb0a8c04e0bad42e_61_2" hidden="1">#REF!</definedName>
    <definedName name="TRNR_ce9a014c6bee423da5360d6746af9493_121_10" hidden="1">#REF!</definedName>
    <definedName name="TRNR_ce9a528b0ac34ad5be2646b2288308cd_40_50" hidden="1">#REF!</definedName>
    <definedName name="TRNR_ce9bf172598a48ac87df6f19ac5ee52e_61_2" hidden="1">'[1]Gráfico 66'!#REF!</definedName>
    <definedName name="TRNR_cebebdf011a447a988419b27ebb7c9a5_55_3" hidden="1">#REF!</definedName>
    <definedName name="TRNR_cec06bda792c4b55914e63c149aa1ed0_138_3" hidden="1">#REF!</definedName>
    <definedName name="TRNR_cec280a9538d4913b0da176af10d48e9_61_2" hidden="1">#REF!</definedName>
    <definedName name="TRNR_cec2c4b6fbc147f2981516e386d461ec_61_2" hidden="1">#REF!</definedName>
    <definedName name="TRNR_cece1dbb5a034a4f92531e5ee95e0944_61_2" hidden="1">#REF!</definedName>
    <definedName name="TRNR_cef9f814344d42939c6d22588d95911d_4_2" hidden="1">#REF!</definedName>
    <definedName name="TRNR_cefbdcdefc434b5cb51e9e2666fceb1c_50_3" hidden="1">#REF!</definedName>
    <definedName name="TRNR_ceff0ce2d35548ebbc36c0c36293c273_61_2" hidden="1">#REF!</definedName>
    <definedName name="TRNR_cf110034f20847989a472a5eed905ae5_282_13" hidden="1">#REF!</definedName>
    <definedName name="TRNR_cf25ffc3a4824f0188024b94ee382126_61_2" hidden="1">'[1]Gráfico 66'!#REF!</definedName>
    <definedName name="TRNR_cf354db657fe4db791137d93693f760d_527_6" hidden="1">#REF!</definedName>
    <definedName name="TRNR_cf372a0f71114853a592b90f4b65d207_61_2" hidden="1">#REF!</definedName>
    <definedName name="TRNR_cf470f071f714141900ba8b938506bec_61_2" hidden="1">#REF!</definedName>
    <definedName name="TRNR_cf4889221ee0451b94b65e77d7db2b96_61_2" hidden="1">#REF!</definedName>
    <definedName name="TRNR_cf4c3ba4e14b4f0baadb890a583bc700_6059_1" hidden="1">#REF!</definedName>
    <definedName name="TRNR_cf5e36bdf6c240ef9949e70886a4ba93_61_2" hidden="1">#REF!</definedName>
    <definedName name="TRNR_cf62026fc1c34f368dd002f82fdaa330_61_2" hidden="1">'[1]Gráfico 66'!#REF!</definedName>
    <definedName name="TRNR_cf6c2a0cad794d428e7491d4a993146f_61_2" hidden="1">#REF!</definedName>
    <definedName name="TRNR_cf6f92c7358d444d90f1fb5f18f31a57_61_2" hidden="1">#REF!</definedName>
    <definedName name="TRNR_cfa2c1c5342444078aa9f82fc3ebd3d8_61_2" hidden="1">#REF!</definedName>
    <definedName name="TRNR_cfa7451c0b2944dbac4e3f53ebf4a8e1_61_2" hidden="1">#REF!</definedName>
    <definedName name="TRNR_cfb4032f068d4355b46188524f23ea39_320_16" hidden="1">#REF!</definedName>
    <definedName name="TRNR_cfba522c20a34a4aafd9d472cc67901f_61_2" hidden="1">#REF!</definedName>
    <definedName name="TRNR_cfd8797f1a8b4447b0e5f9c3bf3046b8_528_7" hidden="1">#REF!</definedName>
    <definedName name="TRNR_cfde50c2a7fa466bb1bc2582beedfac2_5929_6" hidden="1">#REF!</definedName>
    <definedName name="TRNR_cfef08d2c7184d81ae30aab2926a7f5d_46_37" hidden="1">#REF!</definedName>
    <definedName name="TRNR_cffab70bcbd34f6bb094b9482ce67bad_50_1" hidden="1">#REF!</definedName>
    <definedName name="TRNR_d0123f1774db44199b22dfc5ffe79f80_61_2" hidden="1">#REF!</definedName>
    <definedName name="TRNR_d018b29c08394be2bb5c84c55fbd540a_61_2" hidden="1">#REF!</definedName>
    <definedName name="TRNR_d02f8a50fe5d49639b94a2bf98a304f6_61_2" hidden="1">#REF!</definedName>
    <definedName name="TRNR_d030dfd9668d4215ba0b75824545e960_61_2" hidden="1">#REF!</definedName>
    <definedName name="TRNR_d03efea5c85a49f0885990d6e6563bcb_61_2" hidden="1">#REF!</definedName>
    <definedName name="TRNR_d04ce17655704c3aa567146030aa8093_977_4" hidden="1">#REF!</definedName>
    <definedName name="TRNR_d060838acf394cb5ae782206cc294c71_525_10" hidden="1">#REF!</definedName>
    <definedName name="TRNR_d066f61a267949e79288e9306e31370e_61_2" hidden="1">#REF!</definedName>
    <definedName name="TRNR_d0772dbd105847f0a4466d1b12fbef6c_61_2" hidden="1">#REF!</definedName>
    <definedName name="TRNR_d098aa7e0caa4ec7b286d8c07317f097_61_2" hidden="1">#REF!</definedName>
    <definedName name="TRNR_d09cf13489f44822ba06793734a0146f_50_2" hidden="1">#REF!</definedName>
    <definedName name="TRNR_d0c5df8f37e34c4f852b561baf20ce46_977_26" hidden="1">#REF!</definedName>
    <definedName name="TRNR_d0cdd17a845f4187934bc0fe02b2d07b_5813_6" hidden="1">#REF!</definedName>
    <definedName name="TRNR_d0d14728149b4673bfdb633cc13db99f_62_129" hidden="1">#REF!</definedName>
    <definedName name="TRNR_d0d35511d7204fb4971a4e93ac2a06a1_21_9" hidden="1">#REF!</definedName>
    <definedName name="TRNR_d0e4564ab3c349faa9deeec07ba1f38b_50_3" hidden="1">#REF!</definedName>
    <definedName name="TRNR_d0eb822af7bd41cda861fd34e66f6fba_61_2" hidden="1">#REF!</definedName>
    <definedName name="TRNR_d0ffc32b23d54610a4957106fa17e7d7_61_2" hidden="1">#REF!</definedName>
    <definedName name="TRNR_d10230c0f07e43b694b0a56ca0559b6f_61_2" hidden="1">#REF!</definedName>
    <definedName name="TRNR_d127a91e9727496ba89f6f531449d6cc_978_26" hidden="1">#REF!</definedName>
    <definedName name="TRNR_d134107aab9f46ccb4cd0b7f99cf7499_50_1" hidden="1">#REF!</definedName>
    <definedName name="TRNR_d150a74886fa49479cd8a72bdd1db24c_61_2" hidden="1">#REF!</definedName>
    <definedName name="TRNR_d16311166a55424b8e7b8e75990b5423_61_2" hidden="1">#REF!</definedName>
    <definedName name="TRNR_d169f6437cd64137943b7113e395f4d9_4_2" hidden="1">#REF!</definedName>
    <definedName name="TRNR_d19160d4c60c409d951444f034c0c5d5_61_2" hidden="1">#REF!</definedName>
    <definedName name="TRNR_d1a342dc66a74b0087f8f39b93e98670_19_9" hidden="1">#REF!</definedName>
    <definedName name="TRNR_d1a5ceda1040468cbcfa3d50148b4ce7_104_6" hidden="1">#REF!</definedName>
    <definedName name="TRNR_d1a849fceb6040419dc51da5ee6d15b1_60_14" hidden="1">#REF!</definedName>
    <definedName name="TRNR_d1aaecb850fc4d0b8c8d2457f4621113_61_2" hidden="1">#REF!</definedName>
    <definedName name="TRNR_d1ae7a1c3df943529f99009b9be7460b_61_2" hidden="1">#REF!</definedName>
    <definedName name="TRNR_d1ba1cc4555e4febb775bd5d680f96c8_288_26" hidden="1">#REF!</definedName>
    <definedName name="TRNR_d1c872f47b6a429fb646cf2220a62988_584_1" hidden="1">#REF!</definedName>
    <definedName name="TRNR_d1e0eb52724c4a72a387b22f1f41e296_61_2" hidden="1">#REF!</definedName>
    <definedName name="TRNR_d2020a7f4c304151b4d84e4dd04b8377_61_2" hidden="1">#REF!</definedName>
    <definedName name="TRNR_d20eeb4ade4c4b39acdfdb3e1e9bbef0_289_13" hidden="1">#REF!</definedName>
    <definedName name="TRNR_d214a69450774bfdbd11bbf62ae74f51_61_2" hidden="1">#REF!</definedName>
    <definedName name="TRNR_d216e250979f4b59a3a6238812352b7a_61_2" hidden="1">#REF!</definedName>
    <definedName name="TRNR_d229c5e6617c43d5aa9f4f7076e9f323_524_1" hidden="1">#REF!</definedName>
    <definedName name="TRNR_d22cc530a23c482faf05174995111a9d_1071_27" hidden="1">#REF!</definedName>
    <definedName name="TRNR_d2377aa698e84a4382c179b1f23d9459_85_4" hidden="1">#REF!</definedName>
    <definedName name="TRNR_d237ffe1d6b44166ba59ec5337d78946_61_2" hidden="1">#REF!</definedName>
    <definedName name="TRNR_d2422276fe274b25bf3258e053ff0cd0_61_2" hidden="1">#REF!</definedName>
    <definedName name="TRNR_d2441cb36c1344a3ab00715a8c10e805_61_2" hidden="1">#REF!</definedName>
    <definedName name="TRNR_d259b0dc43f9465687b7d84196e31b27_6000_6" hidden="1">#REF!</definedName>
    <definedName name="TRNR_d2670546571a4498a6a930b83d92ad60_61_2" hidden="1">#REF!</definedName>
    <definedName name="TRNR_d2c23d1bde8b4e36b13694ed8a9d1054_61_2" hidden="1">#REF!</definedName>
    <definedName name="TRNR_d2ca9ac468684ab1ab5d17e0e684ad3f_978_2" hidden="1">#REF!</definedName>
    <definedName name="TRNR_d2d1ac8559044ecfa9f3766c3771cd0c_61_2" hidden="1">#REF!</definedName>
    <definedName name="TRNR_d2d6d8c2dd86457f95938afa361a0707_61_2" hidden="1">#REF!</definedName>
    <definedName name="TRNR_d2dbcc2fbce24c298d74cf23f24efcd3_50_2" hidden="1">#REF!</definedName>
    <definedName name="TRNR_d2f5127a1ea4488f91ceca7bebc80ebd_21_9" hidden="1">#REF!</definedName>
    <definedName name="TRNR_d303bd78c6a7489abb1cef9087366666_61_2" hidden="1">'[1]Gráfico 66'!#REF!</definedName>
    <definedName name="TRNR_d30afdd6b7014175b3dd3cd30dd01fed_61_2" hidden="1">#REF!</definedName>
    <definedName name="TRNR_d31bb20decf84fa2a044cf229a7e6e2a_52_6" hidden="1">#REF!</definedName>
    <definedName name="TRNR_d33141bdc1fc4d078c7eeadc7c24014f_61_2" hidden="1">#REF!</definedName>
    <definedName name="TRNR_d337b5a1ee56446691b26dee33ea6742_61_2" hidden="1">#REF!</definedName>
    <definedName name="TRNR_d344173773594627a48ecc6f2754896c_61_2" hidden="1">#REF!</definedName>
    <definedName name="TRNR_d36371f83e704f968b58fb2142218a55_50_2" hidden="1">#REF!</definedName>
    <definedName name="TRNR_d37fd806f43b45f9bc928b6efe36b958_283_13" hidden="1">#REF!</definedName>
    <definedName name="TRNR_d3815edc9cad41d8af909e946db50e11_61_2" hidden="1">#REF!</definedName>
    <definedName name="TRNR_d3882bb7ac8b4f0bb343d4951585c8fa_61_2" hidden="1">#REF!</definedName>
    <definedName name="TRNR_d391efa2b3e14b4a98428b7addcd1ae5_61_2" hidden="1">#REF!</definedName>
    <definedName name="TRNR_d3b40cb0fa1d43b0b7b5e5ece509c41d_5671_6" hidden="1">#REF!</definedName>
    <definedName name="TRNR_d3c96f1594e24f7691eea482c41aa1e5_29_2" hidden="1">#REF!</definedName>
    <definedName name="TRNR_d3d44deb51984c3a9465c380bd054700_278_26" hidden="1">#REF!</definedName>
    <definedName name="TRNR_d3dccc5e55274341af870e349087f9ad_61_2" hidden="1">#REF!</definedName>
    <definedName name="TRNR_d459bf4eb6064131bc94eed8bc9e9d1d_61_2" hidden="1">#REF!</definedName>
    <definedName name="TRNR_d46ed6a75fad49edad5f53c33ed3a30d_6179_6" hidden="1">#REF!</definedName>
    <definedName name="TRNR_d47533a9dfa347ffbcbea983b851703d_241_6" hidden="1">#REF!</definedName>
    <definedName name="TRNR_d492dd5e507e4edda2eac266611563ce_528_6" hidden="1">#REF!</definedName>
    <definedName name="TRNR_d4982a5b6568478fa79fbc55ad53cf08_61_2" hidden="1">#REF!</definedName>
    <definedName name="TRNR_d4a1adaf339b45d4a54434beb6449809_524_1" hidden="1">#REF!</definedName>
    <definedName name="TRNR_d4b780602ade482dafa84debd18c2393_20_4" hidden="1">#REF!</definedName>
    <definedName name="TRNR_d4b785564ab3438498be29857458559b_524_10" hidden="1">#REF!</definedName>
    <definedName name="TRNR_d4b78f6121ba4ada8f53a12d8d292dd7_61_2" hidden="1">#REF!</definedName>
    <definedName name="TRNR_d4bc02eaa1c148f6b93c527feb48d18b_94_3" hidden="1">#REF!</definedName>
    <definedName name="TRNR_d4d9592df68b4c72aaa5fd14fec6060a_61_2" hidden="1">#REF!</definedName>
    <definedName name="TRNR_d4dc7101c5b2416eb17a8fe123018d33_61_2" hidden="1">#REF!</definedName>
    <definedName name="TRNR_d4ecd8b9878946f8836f511620ea2118_61_2" hidden="1">#REF!</definedName>
    <definedName name="TRNR_d4ef31ec46ff4934a8dd4e8cf1724ee3_52_6" hidden="1">#REF!</definedName>
    <definedName name="TRNR_d4fc209f4d8d486ca4ff94034b88e9b6_108_3" hidden="1">#REF!</definedName>
    <definedName name="TRNR_d512f726656b45d1a574c6be1c58b3f3_20_4" hidden="1">#REF!</definedName>
    <definedName name="TRNR_d535fdd123b14ed0bd6702d15853eb08_61_2" hidden="1">#REF!</definedName>
    <definedName name="TRNR_d53eb5c978b74b339b869d205fc3e3f3_25_6" hidden="1">#REF!</definedName>
    <definedName name="TRNR_d54cc58d670948439c9e6908530ada3f_61_2" hidden="1">#REF!</definedName>
    <definedName name="TRNR_d555893717fb43fdad6c66b1715705dc_3956_1" hidden="1">#REF!</definedName>
    <definedName name="TRNR_d55dc7a746a84513ab9bc3f886b7c459_2023_4" hidden="1">#REF!</definedName>
    <definedName name="TRNR_d55e1752dc5243c9a1848519c87af3e9_61_2" hidden="1">#REF!</definedName>
    <definedName name="TRNR_d56c91dee7d74fce9a8f17dbcfacb022_527_6" hidden="1">#REF!</definedName>
    <definedName name="TRNR_d577f01b92df439a844999f5e504b4a8_50_17" hidden="1">#REF!</definedName>
    <definedName name="TRNR_d57dfd56f434468abd79c3ed4d69dbd2_527_6" hidden="1">#REF!</definedName>
    <definedName name="TRNR_d57ed30a8ef04e18b52e267b5da47f9e_528_7" hidden="1">#REF!</definedName>
    <definedName name="TRNR_d5924ea160f74b25a34bf460f7324150_61_2" hidden="1">#REF!</definedName>
    <definedName name="TRNR_d599b4ea3e0a4e0d97a4374a871d6bd6_61_2" hidden="1">#REF!</definedName>
    <definedName name="TRNR_d5a7daf9d55c46d09ceea493ef8dcd57_61_2" hidden="1">#REF!</definedName>
    <definedName name="TRNR_d5b1918e02e04d549ad44ed8dda32c57_61_2" hidden="1">#REF!</definedName>
    <definedName name="TRNR_d5b57384c9b14e868335e4bf798de302_282_6" hidden="1">#REF!</definedName>
    <definedName name="TRNR_d5bea1fbcb9249e080bbfc87710ff68e_61_2" hidden="1">#REF!</definedName>
    <definedName name="TRNR_d5cb30628a5c4f24a6f7dacd1de1438e_9_6" hidden="1">#REF!</definedName>
    <definedName name="TRNR_d5ddb25222454dad91ee20e3c1919fcf_61_2" hidden="1">#REF!</definedName>
    <definedName name="TRNR_d5df6bfef3124427bb4396ecf88e5d40_61_2" hidden="1">#REF!</definedName>
    <definedName name="TRNR_d5e45fbd9e9b4dbe86c0f78759a2af05_61_2" hidden="1">#REF!</definedName>
    <definedName name="TRNR_d5edae89268b454c96330a93cd044372_1191_27" hidden="1">#REF!</definedName>
    <definedName name="TRNR_d5fbbb28cbbb4979916f60459f1bad36_5806_12" hidden="1">#REF!</definedName>
    <definedName name="TRNR_d5fcaeacf4e441588b49bfb5cf1d4960_32_3" hidden="1">#REF!</definedName>
    <definedName name="TRNR_d605effd232346a39d2e42f6d4d144b2_61_2" hidden="1">#REF!</definedName>
    <definedName name="TRNR_d60d1a4bc3194f5e90429a7c9a5fce9a_965_2" hidden="1">#REF!</definedName>
    <definedName name="TRNR_d60d3758b3dc4164befdd95089b98f24_6143_4" hidden="1">#REF!</definedName>
    <definedName name="TRNR_d61069f3ef41430fae531b97a08e20b6_5862_6" hidden="1">#REF!</definedName>
    <definedName name="TRNR_d614d8f0f4264de3a19ef64978fb27e1_61_2" hidden="1">#REF!</definedName>
    <definedName name="TRNR_d6172dfd98a040d7aba4cf575d449747_6_2" hidden="1">#REF!</definedName>
    <definedName name="TRNR_d61aef109a864beda6b7ba0f1b9782d7_61_2" hidden="1">#REF!</definedName>
    <definedName name="TRNR_d629fd60c517426bb2f46663247db885_61_2" hidden="1">#REF!</definedName>
    <definedName name="TRNR_d62b9d1c63c54143bda130767c73f95c_323_16" hidden="1">#REF!</definedName>
    <definedName name="TRNR_d62de8f7ec4d4f3a9eef2656cebab865_62_46" hidden="1">#REF!</definedName>
    <definedName name="TRNR_d62f5bb1084645018086c92e8812b497_977_27" hidden="1">#REF!</definedName>
    <definedName name="TRNR_d640781a2ed14bffa49f8c23ef81be11_313_16" hidden="1">#REF!</definedName>
    <definedName name="TRNR_d6409e81017e460291db86b6af5faeb8_61_2" hidden="1">'[1]Gráfico 66'!#REF!</definedName>
    <definedName name="TRNR_d643d79f26bd40db802fd07d3f174af3_61_2" hidden="1">#REF!</definedName>
    <definedName name="TRNR_d64ab9097c9541eab672e10961638fa0_61_2" hidden="1">'[1]Gráfico 66'!#REF!</definedName>
    <definedName name="TRNR_d653ca8c0e2b485b91f231b3f4fc4560_317_16" hidden="1">#REF!</definedName>
    <definedName name="TRNR_d66d75b86cd741ebbed0018e7b4cab92_103_4" hidden="1">#REF!</definedName>
    <definedName name="TRNR_d6887f8ee0954780bd000ab3ace088b9_323_10" hidden="1">#REF!</definedName>
    <definedName name="TRNR_d6a25d5a085c4fcca0e6316f373ab76d_20_4" hidden="1">#REF!</definedName>
    <definedName name="TRNR_d6a480a5eaaf4dde964f8da0cbaf8860_61_2" hidden="1">#REF!</definedName>
    <definedName name="TRNR_d6b295f797ee4dfdbc2aa8d59228bd84_528_6" hidden="1">#REF!</definedName>
    <definedName name="TRNR_d6bf9040634e4ff794f9e65a2532f176_61_2" hidden="1">#REF!</definedName>
    <definedName name="TRNR_d6cc828398de4e45ba165c00f99b806d_2109_6" hidden="1">#REF!</definedName>
    <definedName name="TRNR_d6df345e61d444cb8e9da345e48f6737_61_2" hidden="1">#REF!</definedName>
    <definedName name="TRNR_d6e40c5ba53b4458b0aea5cb01d3e67d_61_2" hidden="1">'[1]Gráfico 66'!#REF!</definedName>
    <definedName name="TRNR_d6ebb8f088a242d295d2cb6dcb787fae_61_2" hidden="1">#REF!</definedName>
    <definedName name="TRNR_d6ec7d92ad354e75a69c4a0f1f604f07_61_2" hidden="1">#REF!</definedName>
    <definedName name="TRNR_d6f068dbca704077a480f38c09cdef7e_61_2" hidden="1">#REF!</definedName>
    <definedName name="TRNR_d6f5dd2fd5c245aa89e6f28a941457d7_61_2" hidden="1">#REF!</definedName>
    <definedName name="TRNR_d6fbc50f79194e57a52444c483d84819_61_2" hidden="1">'[1]Gráfico 66'!#REF!</definedName>
    <definedName name="TRNR_d7039fa6326f40e0ab86ae182128981d_61_2" hidden="1">#REF!</definedName>
    <definedName name="TRNR_d71dcd9a28964a87817d141b3531534b_1023_27" hidden="1">#REF!</definedName>
    <definedName name="TRNR_d728f3e4c84743dbb12632e44f7df8d0_102_6" hidden="1">#REF!</definedName>
    <definedName name="TRNR_d732bc1a9bf1409893543bfe72d39b84_393_9" hidden="1">#REF!</definedName>
    <definedName name="TRNR_d73b8e1c069b4aa3ab6b875d419e8c3f_528_7" hidden="1">#REF!</definedName>
    <definedName name="TRNR_d73c80f4f31044eb82e5236dc25e0e33_61_2" hidden="1">#REF!</definedName>
    <definedName name="TRNR_d7409337ece6447a8427c352df5acb66_6048_6" hidden="1">#REF!</definedName>
    <definedName name="TRNR_d74426f6a91242ff88721da2b34fc4f8_20_4" hidden="1">#REF!</definedName>
    <definedName name="TRNR_d756cb764f1042119282b2acfc3bad5a_25_6" hidden="1">#REF!</definedName>
    <definedName name="TRNR_d75a7260e7784719901479bbae5de44e_61_2" hidden="1">#REF!</definedName>
    <definedName name="TRNR_d75db99c68a3485ca555d0e32af0be75_61_2" hidden="1">#REF!</definedName>
    <definedName name="TRNR_d75f1bf51df34aa5980836c95c1c8198_61_2" hidden="1">#REF!</definedName>
    <definedName name="TRNR_d764f507d7e94185b22a2ee1c942c44c_21_9" hidden="1">#REF!</definedName>
    <definedName name="TRNR_d7750ceb62384e5baa65be91dc48d72b_525_1" hidden="1">#REF!</definedName>
    <definedName name="TRNR_d78b3872f2c5459c9856c829953858b2_61_2" hidden="1">#REF!</definedName>
    <definedName name="TRNR_d798af70a5bd4a1581aec1d55a49989e_6002_6" hidden="1">#REF!</definedName>
    <definedName name="TRNR_d7a90c9d7abe44b3ac13885af54503b9_61_2" hidden="1">#REF!</definedName>
    <definedName name="TRNR_d7ae2d0b472040e686515e81fad729b4_107_3" hidden="1">#REF!</definedName>
    <definedName name="TRNR_d7da1795a3b74357b282c0d1714fadbc_61_2" hidden="1">#REF!</definedName>
    <definedName name="TRNR_d7e0ac0b923745038757e4ca79a034ba_61_6" hidden="1">#REF!</definedName>
    <definedName name="TRNR_d7ed133a134e4b1bb91ec7314ac57140_53_3" hidden="1">#REF!</definedName>
    <definedName name="TRNR_d7f61cccff82426abe00f6afd03d086b_61_2" hidden="1">#REF!</definedName>
    <definedName name="TRNR_d7fccb6f42794c5c90e47bb51cb8ed9a_53_3" hidden="1">#REF!</definedName>
    <definedName name="TRNR_d7fd4c67925e486fb06b12770a823c1f_61_2" hidden="1">#REF!</definedName>
    <definedName name="TRNR_d821cd06b48643bab6cb602a4765e31d_1056_27" hidden="1">#REF!</definedName>
    <definedName name="TRNR_d83a3623ed48409a983f297803d2bee9_525_10" hidden="1">#REF!</definedName>
    <definedName name="TRNR_d843bf2a4982485b8aac95d272f6e26c_61_2" hidden="1">#REF!</definedName>
    <definedName name="TRNR_d8561a45b08646c7b9da8b9eef0e6768_61_2" hidden="1">#REF!</definedName>
    <definedName name="TRNR_d86a47b117b74ea09a43adb933123235_61_2" hidden="1">#REF!</definedName>
    <definedName name="TRNR_d86c08af75c54aa483b01766367def96_6228_6" hidden="1">#REF!</definedName>
    <definedName name="TRNR_d8714d0237eb44738a9f9e39bcbd4169_61_2" hidden="1">#REF!</definedName>
    <definedName name="TRNR_d87a8414cf944bb9a6a1355c58f81895_62_1" hidden="1">#REF!</definedName>
    <definedName name="TRNR_d891cccb9c544a71ad101155ca85f39d_21_9" hidden="1">#REF!</definedName>
    <definedName name="TRNR_d893a28c44a141faa48b200218558997_61_2" hidden="1">'[1]Gráfico 66'!#REF!</definedName>
    <definedName name="TRNR_d89ef6d5b1b54206ac7fe56240e8cf15_61_2" hidden="1">#REF!</definedName>
    <definedName name="TRNR_d8b1605e9b574e3aa87e116fc400f02e_61_2" hidden="1">#REF!</definedName>
    <definedName name="TRNR_d8d392b0e9074c6e9cfb431e2b9f782b_527_7" hidden="1">#REF!</definedName>
    <definedName name="TRNR_d8dc5f18eb864219913053e05e09642c_61_2" hidden="1">#REF!</definedName>
    <definedName name="TRNR_d8eb9dcf2827434ab0e710796e855dd4_61_2" hidden="1">#REF!</definedName>
    <definedName name="TRNR_d8ef4ac9408a4fe1bb5755b632b5f3a2_98_6" hidden="1">#REF!</definedName>
    <definedName name="TRNR_d907cc903964493d8eb315b79ef03e69_5576_9" hidden="1">#REF!</definedName>
    <definedName name="TRNR_d94793328b3b44daab1593b660d83e61_61_2" hidden="1">#REF!</definedName>
    <definedName name="TRNR_d94e4e7c94ce496d9f99e085c855cf14_51_3" hidden="1">#REF!</definedName>
    <definedName name="TRNR_d95b6c7f4877472fa71f38a7399a20fe_61_2" hidden="1">#REF!</definedName>
    <definedName name="TRNR_d96ddd625ad441d3ad40875ce80ce7ca_61_2" hidden="1">#REF!</definedName>
    <definedName name="TRNR_d9724bdeb0534178940129d8dbeda840_528_7" hidden="1">#REF!</definedName>
    <definedName name="TRNR_d97a90e78d9340d4ac6b3620fec1ce7a_61_2" hidden="1">#REF!</definedName>
    <definedName name="TRNR_d97b067e70834acda39bd7f5b8ca6227_527_7" hidden="1">#REF!</definedName>
    <definedName name="TRNR_d981497ed1094bcd8e27d45dd93c8fc1_107_3" hidden="1">#REF!</definedName>
    <definedName name="TRNR_d987b4ff1c70412586cbd3158f34ff57_525_10" hidden="1">#REF!</definedName>
    <definedName name="TRNR_d9885969ef3e432d91afd7075613b1d5_61_2" hidden="1">#REF!</definedName>
    <definedName name="TRNR_d98920bbe15c4ad0b7250e5751cb202b_61_2" hidden="1">#REF!</definedName>
    <definedName name="TRNR_d99644a85e4f4fc9b894353faab45d3d_528_6" hidden="1">#REF!</definedName>
    <definedName name="TRNR_d9968452eaba47e785749ab0095f3a65_5847_3" hidden="1">#REF!</definedName>
    <definedName name="TRNR_d997aa2aba8541e7989f1c6266f4f7ab_61_2" hidden="1">#REF!</definedName>
    <definedName name="TRNR_d9993e19b3bd4f33b23af2754fa0c14b_20_4" hidden="1">#REF!</definedName>
    <definedName name="TRNR_d999ec3924134fc39aaea72e565b0408_61_2" hidden="1">#REF!</definedName>
    <definedName name="TRNR_d9af7d06907d43bd981e907dc42c1c25_62_11" hidden="1">#REF!</definedName>
    <definedName name="TRNR_d9b215436fbd4575b2854f078e1bd907_528_7" hidden="1">#REF!</definedName>
    <definedName name="TRNR_d9b2e93e167c4f2f8b7ab191c1d33208_1065_27" hidden="1">#REF!</definedName>
    <definedName name="TRNR_d9c1217eaa964ef6831b1f93829d3b7f_61_11" hidden="1">#REF!</definedName>
    <definedName name="TRNR_d9d1ca90d9be4c4db857144813c9d0b6_61_2" hidden="1">#REF!</definedName>
    <definedName name="TRNR_d9d5bf647b22434b9adfdef88b36be97_61_2" hidden="1">#REF!</definedName>
    <definedName name="TRNR_d9e836beb0ec4fca9d0ce2f01133981b_61_2" hidden="1">'[1]Gráfico 66'!#REF!</definedName>
    <definedName name="TRNR_d9fe371423e0427d9e07c3ebe66c5a97_61_2" hidden="1">'[1]Gráfico 66'!#REF!</definedName>
    <definedName name="TRNR_da029d27dad6402d88cd116a38fb826c_5868_12" hidden="1">#REF!</definedName>
    <definedName name="TRNR_da06b601d1e74a30aef1b311225c5ba4_61_2" hidden="1">#REF!</definedName>
    <definedName name="TRNR_da08c05204a34a1892714d83f2f75803_61_2" hidden="1">#REF!</definedName>
    <definedName name="TRNR_da1c6c1687b64a3faa8bf3e1cb624d27_61_2" hidden="1">#REF!</definedName>
    <definedName name="TRNR_da23515dbb2a41bcbec0b8673f0adbe4_61_2" hidden="1">#REF!</definedName>
    <definedName name="TRNR_da2bd624fe574adaba1dd4f0f5ede779_61_2" hidden="1">#REF!</definedName>
    <definedName name="TRNR_da2e40f73dce4528831f780cc6703a99_61_2" hidden="1">#REF!</definedName>
    <definedName name="TRNR_da34e367b3f646adaa44c0fd212f6eed_397_9" hidden="1">#REF!</definedName>
    <definedName name="TRNR_da5320509157477793b2834a7b2f05bb_528_7" hidden="1">#REF!</definedName>
    <definedName name="TRNR_da69b198590e4ae9a4b90718d04fca4a_21_9" hidden="1">#REF!</definedName>
    <definedName name="TRNR_da7a222deacf43fbbd504bd9a76ae0bc_322_10" hidden="1">#REF!</definedName>
    <definedName name="TRNR_daa30aaab5f846faa4115812e78f392c_6449_2" hidden="1">#REF!</definedName>
    <definedName name="TRNR_daa8baa4b5234a968610dd9f03dd33f9_1077_27" hidden="1">#REF!</definedName>
    <definedName name="TRNR_dad2b64778634e01b732e91cc3f8a47b_61_2" hidden="1">#REF!</definedName>
    <definedName name="TRNR_dae176f5297d45928e3ac54fd25d6d8d_61_2" hidden="1">#REF!</definedName>
    <definedName name="TRNR_dae403f3f04641b3b0ad32162fb764cb_61_2" hidden="1">#REF!</definedName>
    <definedName name="TRNR_daf04d3294fa4fb48a44bbe3e1a9741e_997_2" hidden="1">#REF!</definedName>
    <definedName name="TRNR_db01c2bdb5784ed483dc0d97d36a659b_527_7" hidden="1">#REF!</definedName>
    <definedName name="TRNR_db05c935773a4201973294a334d270ac_30_24" hidden="1">#REF!</definedName>
    <definedName name="TRNR_db12db55539e47aaa5a64049d54b9dbb_528_7" hidden="1">#REF!</definedName>
    <definedName name="TRNR_db194f7b5fc341969c8f2616cc8b462d_6209_4" hidden="1">#REF!</definedName>
    <definedName name="TRNR_db21be713978483f99385bb167bb2ead_20_4" hidden="1">#REF!</definedName>
    <definedName name="TRNR_db29bdf9010444828f5d9328434fc8aa_524_10" hidden="1">#REF!</definedName>
    <definedName name="TRNR_db2d16bc48304372a013c6ffa6572fd3_61_2" hidden="1">#REF!</definedName>
    <definedName name="TRNR_db34216c48f947648036c7553710f4c2_109_3" hidden="1">#REF!</definedName>
    <definedName name="TRNR_db393322148c46e2a8715dc7156ead2d_61_2" hidden="1">#REF!</definedName>
    <definedName name="TRNR_db3ab4fb2d844c80aff66661717fd623_61_2" hidden="1">#REF!</definedName>
    <definedName name="TRNR_db3bb45ad1074a429f27b0349f0eb5da_61_2" hidden="1">#REF!</definedName>
    <definedName name="TRNR_db4f63618fb3457bbf9aeb4bc1cfae18_6228_4" hidden="1">#REF!</definedName>
    <definedName name="TRNR_db5da10476a943ba904653c3d8fb2256_61_9" hidden="1">#REF!</definedName>
    <definedName name="TRNR_db60ead5bc9d4db3978d17487f326d55_61_2" hidden="1">#REF!</definedName>
    <definedName name="TRNR_db61f335136a45f08cee802688d36c3f_26_7" hidden="1">#REF!</definedName>
    <definedName name="TRNR_db775f036fbe48d5a4e306ad6346fa6f_61_2" hidden="1">#REF!</definedName>
    <definedName name="TRNR_db8d106d10f6428ba68711af6c607006_61_2" hidden="1">#REF!</definedName>
    <definedName name="TRNR_db909150af5649918932410ccee29869_61_2" hidden="1">#REF!</definedName>
    <definedName name="TRNR_db9c2ce8d89d4d459d05c023e964b9fe_61_2" hidden="1">#REF!</definedName>
    <definedName name="TRNR_dbaab0778b344b16ae128e150b9708f6_61_2" hidden="1">#REF!</definedName>
    <definedName name="TRNR_dbac7b43f0ca4fcd9fd52b9498489855_61_2" hidden="1">#REF!</definedName>
    <definedName name="TRNR_dbb6246b6f4e438fb9b76a0e24f1ca76_61_2" hidden="1">#REF!</definedName>
    <definedName name="TRNR_dbbc982e0e28489b8c51652daef55999_61_2" hidden="1">'[1]Gráfico 66'!#REF!</definedName>
    <definedName name="TRNR_dbc293c4f15d42d8afa53d3db271c55e_61_2" hidden="1">#REF!</definedName>
    <definedName name="TRNR_dbd32351180b48e7bd925250d7e45040_25_6" hidden="1">#REF!</definedName>
    <definedName name="TRNR_dbe738848a9246b997a51fa853c9f7cf_528_7" hidden="1">#REF!</definedName>
    <definedName name="TRNR_dc0415c60bd940d79a912488ee5872e5_528_6" hidden="1">#REF!</definedName>
    <definedName name="TRNR_dc1621656cdd47428ebd57dd2891c53e_61_2" hidden="1">'[1]Gráfico 66'!#REF!</definedName>
    <definedName name="TRNR_dc20ead5bdaa4de2b65734e43d6ba6cf_85_4" hidden="1">#REF!</definedName>
    <definedName name="TRNR_dc24760da2e940948260d1c378c11d36_61_11" hidden="1">#REF!</definedName>
    <definedName name="TRNR_dc261d10694440599d020a793adb0de4_61_2" hidden="1">#REF!</definedName>
    <definedName name="TRNR_dc2a7f80542842a2823784a8983da43a_61_2" hidden="1">#REF!</definedName>
    <definedName name="TRNR_dc57b7c27cc5465eaac4c878d56802ec_30_1" hidden="1">#REF!</definedName>
    <definedName name="TRNR_dc581fd390de41b5849f207a59d2b4f0_50_2" hidden="1">#REF!</definedName>
    <definedName name="TRNR_dc5d4aa5e1324408ae51505192df6511_61_2" hidden="1">#REF!</definedName>
    <definedName name="TRNR_dc6773dc424d45c3a0a2abc009aaa268_61_2" hidden="1">#REF!</definedName>
    <definedName name="TRNR_dc6cd256a67544a3a6bfcd7e005b58f0_61_2" hidden="1">#REF!</definedName>
    <definedName name="TRNR_dc926cb2a9554658a3d1e138a84e5c0d_1070_27" hidden="1">#REF!</definedName>
    <definedName name="TRNR_dca915b08ec24cb8b1b69a702e5ea6db_61_2" hidden="1">#REF!</definedName>
    <definedName name="TRNR_dcaa8be570d44ac6991d90e74c769615_527_7" hidden="1">#REF!</definedName>
    <definedName name="TRNR_dcc254f383e1402fbb399f0089311dac_61_2" hidden="1">#REF!</definedName>
    <definedName name="TRNR_dccae90cb2d6485ebafc47e67d70e5be_528_6" hidden="1">#REF!</definedName>
    <definedName name="TRNR_dcd444a17f7443cc94b06283f80666a2_61_2" hidden="1">#REF!</definedName>
    <definedName name="TRNR_dce3fc6ec9e04af9bd12dd0722e76629_61_2" hidden="1">#REF!</definedName>
    <definedName name="TRNR_dce4662cc98a4ecd83aa9f44e72346be_50_17" hidden="1">#REF!</definedName>
    <definedName name="TRNR_dce8219d374144af8683b0dac9a53702_6012_6" hidden="1">#REF!</definedName>
    <definedName name="TRNR_dd02bc6ee2e4412eb7ccd6490ed40260_61_2" hidden="1">#REF!</definedName>
    <definedName name="TRNR_dd081b40ef1d43cdad30688cb3d2d700_5945_6" hidden="1">#REF!</definedName>
    <definedName name="TRNR_dd103442876643bb88f8c274816933bb_61_2" hidden="1">#REF!</definedName>
    <definedName name="TRNR_dd1700062c934834810d72357c9967ed_6059_1" hidden="1">#REF!</definedName>
    <definedName name="TRNR_dd2469c2586f4eef8cdc97b014014f84_61_2" hidden="1">#REF!</definedName>
    <definedName name="TRNR_dd313aa895fe4276b9fcf2b293096c8b_527_7" hidden="1">#REF!</definedName>
    <definedName name="TRNR_dd359a66f32942318668975877c50c38_61_2" hidden="1">#REF!</definedName>
    <definedName name="TRNR_dd37c2b9ce0246c39c80abf5496c3ea1_2099_6" hidden="1">#REF!</definedName>
    <definedName name="TRNR_dd454ed1e5434d259a8f8712198b55ee_61_2" hidden="1">#REF!</definedName>
    <definedName name="TRNR_dd64200ee0674ec9beda4fb2dbb86de9_61_2" hidden="1">'[1]Gráfico 66'!#REF!</definedName>
    <definedName name="TRNR_dd67305818e94c38a3c3299c080ed9f6_276_6" hidden="1">#REF!</definedName>
    <definedName name="TRNR_dd6b42127f1a4953b6400bd89c2a9d5d_100_6" hidden="1">#REF!</definedName>
    <definedName name="TRNR_dd96827f805c4f0d8c9dc32bbca3de90_61_2" hidden="1">#REF!</definedName>
    <definedName name="TRNR_dd99cb8374824f02ac7aafeb7c395704_61_2" hidden="1">#REF!</definedName>
    <definedName name="TRNR_dd9efb512fb7433f84c49ff932b3948b_5804_6" hidden="1">#REF!</definedName>
    <definedName name="TRNR_dd9fefd88702499f86f4bb5759af386d_61_2" hidden="1">#REF!</definedName>
    <definedName name="TRNR_dda6f7cc3ae54cfab729547ec1670bd6_29_1" hidden="1">#REF!</definedName>
    <definedName name="TRNR_ddbcfe8e897844278d8adb108b0e47a0_2059_6" hidden="1">#REF!</definedName>
    <definedName name="TRNR_ddd276b6a602416eb62d5ad16e98d848_282_26" hidden="1">#REF!</definedName>
    <definedName name="TRNR_ddd2dd14ca50479a8bc2f8cb8d44d269_61_2" hidden="1">#REF!</definedName>
    <definedName name="TRNR_ddd840e4a65b4b55ab00c94c838c7186_2101_6" hidden="1">#REF!</definedName>
    <definedName name="TRNR_ddfb783ab8b44c198f69ccbcc0b992ec_5965_6" hidden="1">#REF!</definedName>
    <definedName name="TRNR_ddff9f3389c841479ab6daeaaf36a68e_62_1" hidden="1">'[1]Gráfico 66'!#REF!</definedName>
    <definedName name="TRNR_de18e827ba004b1382cd0dba4c3a93e3_90_18" hidden="1">#REF!</definedName>
    <definedName name="TRNR_de21112476ba43d6bfe4fed0aff43e25_61_2" hidden="1">#REF!</definedName>
    <definedName name="TRNR_de3478d621ab4219962e26f2a7015b97_61_2" hidden="1">#REF!</definedName>
    <definedName name="TRNR_de3d0844f5d547dbbd8d160f98273679_277_6" hidden="1">#REF!</definedName>
    <definedName name="TRNR_de3e2eb00dfe413eacb2d57d940eef73_20_4" hidden="1">#REF!</definedName>
    <definedName name="TRNR_de63a2a69e4745d9acfd72a2b0f5af4d_61_2" hidden="1">#REF!</definedName>
    <definedName name="TRNR_de8cefac843a4cd4933405685a643295_40_50" hidden="1">#REF!</definedName>
    <definedName name="TRNR_de95302100384e2fbfddeecd48628f7f_528_6" hidden="1">#REF!</definedName>
    <definedName name="TRNR_de97f87070a34aa8b99475b41d16978c_94_3" hidden="1">#REF!</definedName>
    <definedName name="TRNR_de9dfc327acb402eb47d9bd94d2dbeb3_5965_6" hidden="1">#REF!</definedName>
    <definedName name="TRNR_dec4dd756ec34a508fab362a9f24fb55_61_2" hidden="1">#REF!</definedName>
    <definedName name="TRNR_def22d0e018c43b0a5e2976a4971b27f_61_2" hidden="1">#REF!</definedName>
    <definedName name="TRNR_df0220ad28534fad89c50e6b6e73aa02_52_6" hidden="1">#REF!</definedName>
    <definedName name="TRNR_df0cd0eb02e942f4a021b2bc5688e4bd_523_2" hidden="1">#REF!</definedName>
    <definedName name="TRNR_df0e00f664784b67a82de99eb3398d31_6195_4" hidden="1">#REF!</definedName>
    <definedName name="TRNR_df29738992464c9494fa0101f1857c9e_6209_2" hidden="1">#REF!</definedName>
    <definedName name="TRNR_df4122f5d4ee404aae34d08dda7cbc08_61_2" hidden="1">#REF!</definedName>
    <definedName name="TRNR_df5a8f2a11cb43d2a5faa4a316032125_61_2" hidden="1">#REF!</definedName>
    <definedName name="TRNR_df829be5ffa64291b347a13b0df2fc36_61_2" hidden="1">#REF!</definedName>
    <definedName name="TRNR_df8e180f9c814c1887822f703b72ef44_110_3" hidden="1">#REF!</definedName>
    <definedName name="TRNR_df9990c8748b4743a4e92c4c29e19321_61_2" hidden="1">#REF!</definedName>
    <definedName name="TRNR_dfa503f0aafe41a7a6659b7c9d3cc275_61_2" hidden="1">#REF!</definedName>
    <definedName name="TRNR_dfb4e1f124654058bae1292c6484b79f_2053_6" hidden="1">#REF!</definedName>
    <definedName name="TRNR_dfb4fcc229764d70aad13a067bee6c5e_61_2" hidden="1">#REF!</definedName>
    <definedName name="TRNR_dfb7b667a16d4dabac0e91833a532837_61_2" hidden="1">#REF!</definedName>
    <definedName name="TRNR_dfc5c13e47f241b2bf779113ed90e2e2_61_2" hidden="1">#REF!</definedName>
    <definedName name="TRNR_dfc6447606244e299d05e993c1e2fcc7_61_2" hidden="1">'[1]Gráfico 66'!#REF!</definedName>
    <definedName name="TRNR_dfcf122b2d9849c8b0f5d2f5d205c835_61_2" hidden="1">#REF!</definedName>
    <definedName name="TRNR_dfd14971748248449b8a82d59e80fb04_61_2" hidden="1">#REF!</definedName>
    <definedName name="TRNR_dfd18b58fc7c4de3a631bc7b7cc3ffb8_61_2" hidden="1">#REF!</definedName>
    <definedName name="TRNR_dfdbe470b8cf46a3aa9f346464f6d1ed_61_2" hidden="1">#REF!</definedName>
    <definedName name="TRNR_e0091595e08e4cdfac25d4647b99da5b_61_2" hidden="1">#REF!</definedName>
    <definedName name="TRNR_e01212f811c540039bb7978818fed762_5949_6" hidden="1">#REF!</definedName>
    <definedName name="TRNR_e022284a4289490289e2cbf7d7ca56a9_61_2" hidden="1">#REF!</definedName>
    <definedName name="TRNR_e025e1b592cd4c5088f51e7e0650ef50_61_2" hidden="1">#REF!</definedName>
    <definedName name="TRNR_e028649210a1429ab7c88cf99ce06cd2_98_3" hidden="1">#REF!</definedName>
    <definedName name="TRNR_e02efabccb95452f9ec076d42f8d1aaa_6_1" hidden="1">#REF!</definedName>
    <definedName name="TRNR_e056e79bc046482cabfd2a38b55967c9_61_2" hidden="1">#REF!</definedName>
    <definedName name="TRNR_e079e0f14a144aa2b5e19ca2dd21a94b_61_2" hidden="1">#REF!</definedName>
    <definedName name="TRNR_e08b305185864a9bb3c8b3c4089c4ebf_61_2" hidden="1">#REF!</definedName>
    <definedName name="TRNR_e0a68bbadbf541409dfc8c6c4dfe9b28_61_2" hidden="1">#REF!</definedName>
    <definedName name="TRNR_e0ce66fd310646e59506db1955a37c8e_61_2" hidden="1">#REF!</definedName>
    <definedName name="TRNR_e0d6d92609194b6886e61af61f741a92_61_2" hidden="1">'[1]Gráfico 66'!#REF!</definedName>
    <definedName name="TRNR_e0d791a88f744564ac910a870a9045ce_61_2" hidden="1">#REF!</definedName>
    <definedName name="TRNR_e0dd94af5d8d436b8936a6adf3d7db7e_19_9" hidden="1">#REF!</definedName>
    <definedName name="TRNR_e0fcb52b78d346e1965b6b01cfb9ea48_61_2" hidden="1">#REF!</definedName>
    <definedName name="TRNR_e110135f645044aab2885c1b01b2baeb_61_2" hidden="1">#REF!</definedName>
    <definedName name="TRNR_e11df795eb554f3c9d2533519d6df817_50_3" hidden="1">#REF!</definedName>
    <definedName name="TRNR_e130117fe0fc490ea764dda93c370f8b_61_2" hidden="1">#REF!</definedName>
    <definedName name="TRNR_e13683ca179e45deb4461ebf0d364250_6143_2" hidden="1">#REF!</definedName>
    <definedName name="TRNR_e14073cc6f6943b584360a5d43600719_55_3" hidden="1">#REF!</definedName>
    <definedName name="TRNR_e14bd82b3c20456580e7b17098392ee2_61_2" hidden="1">#REF!</definedName>
    <definedName name="TRNR_e15c6b5a65bf47f084b2efeed3e4941e_61_6" hidden="1">#REF!</definedName>
    <definedName name="TRNR_e15c778b47d24782b311e1c0f883b8ac_61_2" hidden="1">#REF!</definedName>
    <definedName name="TRNR_e161055aacc44ae9986b021e8d25eef2_524_10" hidden="1">#REF!</definedName>
    <definedName name="TRNR_e16491d5542c413bb4b10f4bda5747e0_61_2" hidden="1">#REF!</definedName>
    <definedName name="TRNR_e164cc70044042609292b8f6f5f91a88_61_2" hidden="1">#REF!</definedName>
    <definedName name="TRNR_e17941e5d0e945f5b16eae3cbc554489_282_13" hidden="1">#REF!</definedName>
    <definedName name="TRNR_e181f862cdff4d46bae5844ecd4fdbe6_61_5" hidden="1">#REF!</definedName>
    <definedName name="TRNR_e19427d72fcc45d48763cfbc5f1a9314_61_2" hidden="1">#REF!</definedName>
    <definedName name="TRNR_e1a172945dc14a6d974d8bf0b88ea73a_2121_6" hidden="1">#REF!</definedName>
    <definedName name="TRNR_e1a988e2109f471c9021473a69397c53_61_2" hidden="1">#REF!</definedName>
    <definedName name="TRNR_e1d23eb440f9416ca8385cde8f64271b_523_6" hidden="1">#REF!</definedName>
    <definedName name="TRNR_e1d4eb78c6434652bfd09c6e61f0225e_61_2" hidden="1">#REF!</definedName>
    <definedName name="TRNR_e1e2c8d0c5d449dd9703a4b8fa8ec502_61_2" hidden="1">#REF!</definedName>
    <definedName name="TRNR_e1ed4785b40549a2a3340d43ea0da264_61_2" hidden="1">#REF!</definedName>
    <definedName name="TRNR_e1ee536969c44235afff9c353ede58e2_528_7" hidden="1">#REF!</definedName>
    <definedName name="TRNR_e1f1addd338e43c78403de83ac22c3d8_60_14" hidden="1">#REF!</definedName>
    <definedName name="TRNR_e2075a633b6c44039fca6cfa53c19b0c_525_10" hidden="1">#REF!</definedName>
    <definedName name="TRNR_e207c241f3334b479a5d2370e4d680ed_100_6" hidden="1">#REF!</definedName>
    <definedName name="TRNR_e20ba6056cf64969a1c290455056bb05_52_3" hidden="1">#REF!</definedName>
    <definedName name="TRNR_e20e7c05277c414e859157ea8f651035_525_10" hidden="1">#REF!</definedName>
    <definedName name="TRNR_e2102b21cdfb4dd89dbcc205be13b19f_50_2" hidden="1">#REF!</definedName>
    <definedName name="TRNR_e21468da3ff848c494d736950509ea36_5858_6" hidden="1">#REF!</definedName>
    <definedName name="TRNR_e2574c1e1b074c68a03095ad4b4bd714_61_2" hidden="1">#REF!</definedName>
    <definedName name="TRNR_e25ac4ed8f1e41b5954f42032998dcf6_61_2" hidden="1">#REF!</definedName>
    <definedName name="TRNR_e25c08569a4c41a89d051a620273936a_61_2" hidden="1">#REF!</definedName>
    <definedName name="TRNR_e269b31d026a4142966855d66903301c_25_6" hidden="1">#REF!</definedName>
    <definedName name="TRNR_e27333f680e34c63af29846126cbb6af_524_10" hidden="1">#REF!</definedName>
    <definedName name="TRNR_e288f156a11d4a67874d09470dca6922_528_6" hidden="1">#REF!</definedName>
    <definedName name="TRNR_e28b5e6fde6d44e4a8e173f8c3012a2c_61_2" hidden="1">#REF!</definedName>
    <definedName name="TRNR_e29d42fc834f4e27b432e870cf59b589_40_37" hidden="1">#REF!</definedName>
    <definedName name="TRNR_e29ec10af5f444a2ab144987dbb6720b_61_2" hidden="1">#REF!</definedName>
    <definedName name="TRNR_e2a962634698410490de6fb7a817d005_61_2" hidden="1">#REF!</definedName>
    <definedName name="TRNR_e2b338a466554fdfa5fed5036a99a433_61_2" hidden="1">#REF!</definedName>
    <definedName name="TRNR_e2b9a90ed73641c0a474ac7866eb9e5f_61_2" hidden="1">#REF!</definedName>
    <definedName name="TRNR_e2ba4697c4594949b3c93bd729abe3c4_61_2" hidden="1">#REF!</definedName>
    <definedName name="TRNR_e2c11cc632c4486aa536af885a0b14da_98_4" hidden="1">#REF!</definedName>
    <definedName name="TRNR_e2c73452320f41188a50f6520f51f9d2_224_1" hidden="1">#REF!</definedName>
    <definedName name="TRNR_e2d23e9475db4632b81a33bd297d9ffd_61_2" hidden="1">#REF!</definedName>
    <definedName name="TRNR_e2f09b41ec4547408df2284ddc1f602d_61_2" hidden="1">#REF!</definedName>
    <definedName name="TRNR_e2f65c28c2544f7097b4533ee8f751a6_61_2" hidden="1">#REF!</definedName>
    <definedName name="TRNR_e3121a37366b4e6fa22e6d5783e0fafc_61_2" hidden="1">#REF!</definedName>
    <definedName name="TRNR_e313679956594314ac02123facd9a02d_61_2" hidden="1">#REF!</definedName>
    <definedName name="TRNR_e31aa79b2d5743dca44e3637633f3b97_6267_2" hidden="1">#REF!</definedName>
    <definedName name="TRNR_e3207b89fb0f48a98fb537d02cd38ae8_61_11" hidden="1">#REF!</definedName>
    <definedName name="TRNR_e34f9b4a43b446889c993c78ad88fb84_4_2" hidden="1">#REF!</definedName>
    <definedName name="TRNR_e34fd05e7162432793432922796a9529_289_13" hidden="1">#REF!</definedName>
    <definedName name="TRNR_e35cb1619ebd4f8fbcd8c12e0b15944a_61_2" hidden="1">#REF!</definedName>
    <definedName name="TRNR_e35dbaa5480241f28c9c292795c4a6d3_61_2" hidden="1">#REF!</definedName>
    <definedName name="TRNR_e35f821ce056426b966171d90367ee7a_138_3" hidden="1">#REF!</definedName>
    <definedName name="TRNR_e36a85858c5b454baade2d7d02bd064f_61_2" hidden="1">#REF!</definedName>
    <definedName name="TRNR_e380c00502bd4987a2bf7ea76ded0683_61_2" hidden="1">#REF!</definedName>
    <definedName name="TRNR_e396a197fa8e4ee09ab8e514225449a8_527_7" hidden="1">#REF!</definedName>
    <definedName name="TRNR_e3c4625a5dfe481397188de23bb455d6_977_24" hidden="1">#REF!</definedName>
    <definedName name="TRNR_e3c658aa1e394cd1923a1e349deacd14_527_6" hidden="1">#REF!</definedName>
    <definedName name="TRNR_e3cb536d7d774b618086063bcb7fbb58_61_2" hidden="1">'[1]Gráfico 66'!#REF!</definedName>
    <definedName name="TRNR_e3d31465c4b14c41b736cbf6de03c27f_61_2" hidden="1">#REF!</definedName>
    <definedName name="TRNR_e3d4fd1b58c84cefb718c0a747e2b0cf_61_2" hidden="1">#REF!</definedName>
    <definedName name="TRNR_e3d81d9723d946e4bc8ba63b0b775d16_61_2" hidden="1">#REF!</definedName>
    <definedName name="TRNR_e3dfc38a98ba402d8b83c59cb357defa_6043_6" hidden="1">#REF!</definedName>
    <definedName name="TRNR_e3e5786a683848bd8ba5098a488df098_28_1" hidden="1">#REF!</definedName>
    <definedName name="TRNR_e3f89354e8764248b8c5b84953e9d267_6189_4" hidden="1">#REF!</definedName>
    <definedName name="TRNR_e3fd5f6daa7b48beb992e90d8ef7fead_61_2" hidden="1">#REF!</definedName>
    <definedName name="TRNR_e40fd4e527d249f9a0336eee03b612b7_1001_27" hidden="1">#REF!</definedName>
    <definedName name="TRNR_e41812562c9d484bbc62f7ee32fc6bb9_286_2" hidden="1">#REF!</definedName>
    <definedName name="TRNR_e41837ebe5bf41fba853f67c620523e7_61_2" hidden="1">'[1]Gráfico 66'!#REF!</definedName>
    <definedName name="TRNR_e41a5ebfce2b41328cd696580a5d9f9d_5976_6" hidden="1">#REF!</definedName>
    <definedName name="TRNR_e423602c4087417bb6062cefcef6adea_1036_27" hidden="1">#REF!</definedName>
    <definedName name="TRNR_e42449c80d2a401ea0546017432f4d8d_61_2" hidden="1">#REF!</definedName>
    <definedName name="TRNR_e426eb7c453b4bc78d8f72cdcfa73c0c_40_6" hidden="1">#REF!</definedName>
    <definedName name="TRNR_e42b7493541742bebc4d7e4268d60097_61_2" hidden="1">#REF!</definedName>
    <definedName name="TRNR_e439c6ad85374bddb646bf5b83a0d6f4_61_2" hidden="1">#REF!</definedName>
    <definedName name="TRNR_e43ca7555cad4bec860a7054fe41e20e_61_2" hidden="1">#REF!</definedName>
    <definedName name="TRNR_e44a6b9efd7c4317a4fc71c53f127749_61_2" hidden="1">#REF!</definedName>
    <definedName name="TRNR_e4639ee172b64cb5a5611a91dd853c7b_52_37" hidden="1">#REF!</definedName>
    <definedName name="TRNR_e479dc67615740dbaa6e257e26821bd3_61_2" hidden="1">#REF!</definedName>
    <definedName name="TRNR_e484ffe3781547c7b8aafa98da71c175_6143_4" hidden="1">#REF!</definedName>
    <definedName name="TRNR_e4888be8b52d479fb4e5bd01807a2f8d_61_2" hidden="1">#REF!</definedName>
    <definedName name="TRNR_e490cf99a55c47eea07b61d36ac10b55_61_2" hidden="1">#REF!</definedName>
    <definedName name="TRNR_e493554575724768817dfc96abaa0788_61_2" hidden="1">#REF!</definedName>
    <definedName name="TRNR_e4a4d6aa5f6045fb9f55cc3c28281d72_528_7" hidden="1">#REF!</definedName>
    <definedName name="TRNR_e4b98b1479354d52876bbf52f1441b52_966_2" hidden="1">#REF!</definedName>
    <definedName name="TRNR_e4c1deb6e96e46058129e617ee147c6e_527_7" hidden="1">#REF!</definedName>
    <definedName name="TRNR_e4df46ff4ca94f9c8310806e9e9521f8_61_2" hidden="1">#REF!</definedName>
    <definedName name="TRNR_e4e5294c97db4a54a30f7ad6e0851edb_61_2" hidden="1">#REF!</definedName>
    <definedName name="TRNR_e4e852dac26f41e5a501d66384acdfe0_61_2" hidden="1">#REF!</definedName>
    <definedName name="TRNR_e4eeaae8d149495eb8ffc5a21a87c7ad_50_12" hidden="1">#REF!</definedName>
    <definedName name="TRNR_e50b565fb6334ee5875b5273690f277b_528_6" hidden="1">#REF!</definedName>
    <definedName name="TRNR_e51bab7102704b84afcd610aeed86366_61_2" hidden="1">#REF!</definedName>
    <definedName name="TRNR_e52c41c991254e33ab8c113119add16f_25_6" hidden="1">#REF!</definedName>
    <definedName name="TRNR_e54c2650e385434997bd4f0cbcc4e859_61_2" hidden="1">#REF!</definedName>
    <definedName name="TRNR_e54cf5f852f844afb4204703d4fe2c81_2122_6" hidden="1">#REF!</definedName>
    <definedName name="TRNR_e5586938144b4fe2acb34927d4d9ef6b_52_37" hidden="1">#REF!</definedName>
    <definedName name="TRNR_e55c830292cf4ec69a67c6edc0d5d41a_61_2" hidden="1">#REF!</definedName>
    <definedName name="TRNR_e560ac5d5c344dcd8b6526863d83c285_61_2" hidden="1">#REF!</definedName>
    <definedName name="TRNR_e568b25e25d6441cadc436758f695733_6_1" hidden="1">#REF!</definedName>
    <definedName name="TRNR_e56d1dfcf5cf4a1896bf4db25c726153_61_2" hidden="1">#REF!</definedName>
    <definedName name="TRNR_e57b9ccf46d744898ecbee8f8c2393a6_287_26" hidden="1">#REF!</definedName>
    <definedName name="TRNR_e57e10876808440e8f16bb5d7e4bd256_20_4" hidden="1">#REF!</definedName>
    <definedName name="TRNR_e58f716949cc4b5099dacdfc7031cc3b_61_2" hidden="1">'[1]Gráfico 66'!#REF!</definedName>
    <definedName name="TRNR_e5901a5a1ae44de0a262787d2765da52_527_6" hidden="1">#REF!</definedName>
    <definedName name="TRNR_e5926c27dfe04b19bf89b7ffc20c2929_528_7" hidden="1">#REF!</definedName>
    <definedName name="TRNR_e5b04b6e7a374e84adb68a55f88c6311_61_2" hidden="1">'[1]Gráfico 66'!#REF!</definedName>
    <definedName name="TRNR_e5b2ac4ce99945daa4a4e98766db516f_62_11" hidden="1">#REF!</definedName>
    <definedName name="TRNR_e5d62ac3d3f346929ca64a021d777c5f_61_2" hidden="1">#REF!</definedName>
    <definedName name="TRNR_e5dac408fb654981aec669bc7f7bd64a_61_2" hidden="1">#REF!</definedName>
    <definedName name="TRNR_e5dd0f72ccf04dc696a5aef932ca5930_61_2" hidden="1">#REF!</definedName>
    <definedName name="TRNR_e5e18823d14548699d57e18161a3f561_61_2" hidden="1">#REF!</definedName>
    <definedName name="TRNR_e5e493c0c6704a2098d4a37c139d6191_5867_12" hidden="1">#REF!</definedName>
    <definedName name="TRNR_e5e84dacaf604b9b9a406d4a1ea52bd9_41_1" hidden="1">#REF!</definedName>
    <definedName name="TRNR_e5f4740a30254df0beb6a442b63f617f_61_2" hidden="1">#REF!</definedName>
    <definedName name="TRNR_e5f5d7587f1c42538da569eac145ee2b_61_2" hidden="1">#REF!</definedName>
    <definedName name="TRNR_e5fec0db15c043b3810aecb051f0b4f9_61_2" hidden="1">#REF!</definedName>
    <definedName name="TRNR_e614d8684ca5427284696d15799a55b9_5815_12" hidden="1">#REF!</definedName>
    <definedName name="TRNR_e614f65880b8411796b8ad623e287cf5_2098_6" hidden="1">#REF!</definedName>
    <definedName name="TRNR_e631ada31eef435082f0e4a77aa5152f_61_2" hidden="1">#REF!</definedName>
    <definedName name="TRNR_e633a240cd144d22abe1347670476bf5_24_13" hidden="1">#REF!</definedName>
    <definedName name="TRNR_e6356682662d4949b77da7cd53d481c2_6059_1" hidden="1">#REF!</definedName>
    <definedName name="TRNR_e65e3803fc2946dca0cc68d1184f3012_103_6" hidden="1">#REF!</definedName>
    <definedName name="TRNR_e66220be7b6f4b8b9f20dc989bfa1ed2_61_2" hidden="1">#REF!</definedName>
    <definedName name="TRNR_e6688ab793b84a45a3d0117fc7d23336_528_7" hidden="1">#REF!</definedName>
    <definedName name="TRNR_e6794fe9a93e4a95ae78f15a686e4ac8_61_2" hidden="1">#REF!</definedName>
    <definedName name="TRNR_e688875050c845b1a8f67cafe5d62b2a_61_2" hidden="1">#REF!</definedName>
    <definedName name="TRNR_e68b76b12b8d4b698739802e6d3dde8c_2026_6" hidden="1">#REF!</definedName>
    <definedName name="TRNR_e69ac54fc7994386b2d77ef21243744e_2116_6" hidden="1">#REF!</definedName>
    <definedName name="TRNR_e6a1f4425f4a4419a5a2da84ce3d1ba3_61_2" hidden="1">#REF!</definedName>
    <definedName name="TRNR_e6aa1b0e049242628e7ac8fc29c1ec41_138_3" hidden="1">#REF!</definedName>
    <definedName name="TRNR_e6ad75286fc341f1b2ff1712033526ef_74_11" hidden="1">#REF!</definedName>
    <definedName name="TRNR_e6adaeb9c1104f4cb27057ae680e3a50_61_2" hidden="1">#REF!</definedName>
    <definedName name="TRNR_e6b2dba794c2417d9817444d0a5dde6b_61_2" hidden="1">#REF!</definedName>
    <definedName name="TRNR_e6bf4329695d4d9ca1e5e72baa871663_1008_27" hidden="1">#REF!</definedName>
    <definedName name="TRNR_e6ca586ed0df4558af81065b9743cf67_313_16" hidden="1">#REF!</definedName>
    <definedName name="TRNR_e6d995b9b7614f22ab8ee5126c71f9c7_5843_12" hidden="1">#REF!</definedName>
    <definedName name="TRNR_e6da52f2819244d98f7ecf7c30d84c63_61_2" hidden="1">#REF!</definedName>
    <definedName name="TRNR_e6dcafabd2964dce9657af5864c613d5_61_2" hidden="1">#REF!</definedName>
    <definedName name="TRNR_e6dec6d22f4e4c91bd25b3a76617b0e0_61_2" hidden="1">#REF!</definedName>
    <definedName name="TRNR_e6decc8e837341bea96545c3851103ec_61_2" hidden="1">'[1]Gráfico 66'!#REF!</definedName>
    <definedName name="TRNR_e6e05e64a8bd44778ff8d34906a7167e_61_2" hidden="1">#REF!</definedName>
    <definedName name="TRNR_e6eb83b66dbd4cdcbb2586d331a0fef7_61_2" hidden="1">#REF!</definedName>
    <definedName name="TRNR_e6ec4f5aa8c1451894774cc71db02e8f_61_2" hidden="1">#REF!</definedName>
    <definedName name="TRNR_e7001be53ead4087a18f2bd1cd290707_61_2" hidden="1">'[1]Gráfico 66'!#REF!</definedName>
    <definedName name="TRNR_e70202308e634536b7186c76eb50c069_62_1" hidden="1">'[1]Gráfico 66'!#REF!</definedName>
    <definedName name="TRNR_e71162f5ada743c397b757f0f3ce66dd_61_2" hidden="1">#REF!</definedName>
    <definedName name="TRNR_e72f849a9e2d4705aeb8aaf086856e45_61_2" hidden="1">#REF!</definedName>
    <definedName name="TRNR_e737052aa1f243c8ac539b25defe2330_62_1" hidden="1">#REF!</definedName>
    <definedName name="TRNR_e74727e0b62741b7bafc2d87c6b533e1_61_2" hidden="1">#REF!</definedName>
    <definedName name="TRNR_e74782d3ef1b40a8b6a2203830a95b5f_271_4" hidden="1">'[1]Gráfico 66'!#REF!</definedName>
    <definedName name="TRNR_e74e1538936b4ff7850d9543d84b31f8_61_2" hidden="1">#REF!</definedName>
    <definedName name="TRNR_e759a5d9bb9b44efbf4865733d01c418_3726_6" hidden="1">#REF!</definedName>
    <definedName name="TRNR_e765574319274791919ee9cf3133d622_528_6" hidden="1">#REF!</definedName>
    <definedName name="TRNR_e766bf65f3b343e8944d0ad5eb412402_61_3" hidden="1">#REF!</definedName>
    <definedName name="TRNR_e77d3db3a96b497ea4ad22a73e089b56_5878_6" hidden="1">#REF!</definedName>
    <definedName name="TRNR_e782c39460914480a6af5d3dceb980a9_61_2" hidden="1">#REF!</definedName>
    <definedName name="TRNR_e787f2057c2d4b8994b08ba4d2d5d66d_311_10" hidden="1">#REF!</definedName>
    <definedName name="TRNR_e7889a7b998d46f4a2de929c2bf51bc1_61_2" hidden="1">#REF!</definedName>
    <definedName name="TRNR_e78f899a77d04b8084f93a5c5c0ef189_528_7" hidden="1">#REF!</definedName>
    <definedName name="TRNR_e793ee6fd60c48b6b73a888c665b32e8_2106_6" hidden="1">#REF!</definedName>
    <definedName name="TRNR_e7b42c18dfa64784af446fc3110c51d0_61_2" hidden="1">#REF!</definedName>
    <definedName name="TRNR_e7ce6f9046dc45098145012c5f320833_61_2" hidden="1">#REF!</definedName>
    <definedName name="TRNR_e7dbcb945bc749ff9d4c3a9376c16efc_61_2" hidden="1">#REF!</definedName>
    <definedName name="TRNR_e7de76a122174608946ca2ce5090f406_103_4" hidden="1">#REF!</definedName>
    <definedName name="TRNR_e7e008dabab24cfd9c879feb88f9c9ca_2104_6" hidden="1">#REF!</definedName>
    <definedName name="TRNR_e7e6cfa99c3346399f4e139c13cecf9f_61_2" hidden="1">#REF!</definedName>
    <definedName name="TRNR_e820d25389034f6eb68263cb374dac38_287_13" hidden="1">#REF!</definedName>
    <definedName name="TRNR_e8440c23388c427e8a426bd1ad441cf5_53_3" hidden="1">#REF!</definedName>
    <definedName name="TRNR_e8472aa7fec14938b63a571b85b68dde_61_2" hidden="1">#REF!</definedName>
    <definedName name="TRNR_e848525f461a4a2bbd5610b9943dd69c_528_7" hidden="1">#REF!</definedName>
    <definedName name="TRNR_e8577bd5cb534bba9c67073c89a9e166_61_2" hidden="1">#REF!</definedName>
    <definedName name="TRNR_e85fb4e0c07f422d9fd7a6f75ab5dfeb_61_2" hidden="1">#REF!</definedName>
    <definedName name="TRNR_e877c65cc7f64aac80a6f8e8cde68001_61_2" hidden="1">#REF!</definedName>
    <definedName name="TRNR_e89bd9dd0edc4b28bcfc76c81f9b8bd3_61_2" hidden="1">#REF!</definedName>
    <definedName name="TRNR_e8b648638c314ee0b0a5ef3253b6ba6f_61_2" hidden="1">#REF!</definedName>
    <definedName name="TRNR_e8c90efd091f405f8b671224647d7925_61_2" hidden="1">'[1]Gráfico 66'!#REF!</definedName>
    <definedName name="TRNR_e8d13996b5eb434daa56de52a7f089f9_985_27" hidden="1">#REF!</definedName>
    <definedName name="TRNR_e8d48a99d45b41b1ad474ccdd0136dc1_52_37" hidden="1">#REF!</definedName>
    <definedName name="TRNR_e8e5b524e3f74f958ba4dd0401c88251_5805_6" hidden="1">#REF!</definedName>
    <definedName name="TRNR_e8e6d2cb70cf4fcdb7b9a587dfcba98b_61_2" hidden="1">#REF!</definedName>
    <definedName name="TRNR_e90b8269f03b4846a0b2079cb61d07d4_1189_27" hidden="1">#REF!</definedName>
    <definedName name="TRNR_e91c9481e5284a8fb1a9cb4dde674d4e_528_7" hidden="1">#REF!</definedName>
    <definedName name="TRNR_e92137fb89cf40b1822df913a347450e_528_7" hidden="1">#REF!</definedName>
    <definedName name="TRNR_e924094247254a21ab176969352649a4_528_7" hidden="1">#REF!</definedName>
    <definedName name="TRNR_e925fe6090024f868255e1af1197d7f9_61_2" hidden="1">#REF!</definedName>
    <definedName name="TRNR_e928cf52856a44f4b935ce25664f7d36_327_10" hidden="1">#REF!</definedName>
    <definedName name="TRNR_e92c5a2869784de79e6d34dfe5cb87c6_61_2" hidden="1">#REF!</definedName>
    <definedName name="TRNR_e94177b1343349b49cfc73f781e56627_61_2" hidden="1">#REF!</definedName>
    <definedName name="TRNR_e951bc756f6848e68fdf97cb55de3a3a_61_2" hidden="1">#REF!</definedName>
    <definedName name="TRNR_e953a3d03f6240a0a456312f7708c29f_61_2" hidden="1">#REF!</definedName>
    <definedName name="TRNR_e95536a35694441f8cc44aca39edd43a_528_6" hidden="1">#REF!</definedName>
    <definedName name="TRNR_e95c4a5ac90e4adca800f36060fce351_61_2" hidden="1">#REF!</definedName>
    <definedName name="TRNR_e95c953ac4d542a0bc3b3ad3b9f4e8aa_2044_6" hidden="1">#REF!</definedName>
    <definedName name="TRNR_e96525751f244c46bbd363b413bc40db_61_2" hidden="1">#REF!</definedName>
    <definedName name="TRNR_e989c24a5f46416b8a7253ebb574adf9_61_2" hidden="1">#REF!</definedName>
    <definedName name="TRNR_e991ba6d0d3246dba8b7c65b8cb25073_61_2" hidden="1">#REF!</definedName>
    <definedName name="TRNR_e9a3b0369409405b824c7ff668148f86_2065_6" hidden="1">#REF!</definedName>
    <definedName name="TRNR_e9a470cf19ef4dab8f9fab72c7f86752_267_1" hidden="1">#REF!</definedName>
    <definedName name="TRNR_e9d64a33c117432bbcb87d4204d1355a_61_2" hidden="1">#REF!</definedName>
    <definedName name="TRNR_e9f74c49f3d0471e84142a4cf9067470_61_2" hidden="1">#REF!</definedName>
    <definedName name="TRNR_e9fb4bbfbe1c4da6b584a7ba50551d96_52_3" hidden="1">#REF!</definedName>
    <definedName name="TRNR_ea0407160ab5414189a6b74da168dab5_61_2" hidden="1">#REF!</definedName>
    <definedName name="TRNR_ea22ddb0cafc4eab960374c50187b1b7_61_2" hidden="1">#REF!</definedName>
    <definedName name="TRNR_ea29218353554ae79f4e874394e5ee2a_61_2" hidden="1">#REF!</definedName>
    <definedName name="TRNR_ea36d3666c3b4375ab005fe162badceb_5830_12" hidden="1">#REF!</definedName>
    <definedName name="TRNR_ea3c9f7729c542629a7a90b11fa17d42_61_2" hidden="1">#REF!</definedName>
    <definedName name="TRNR_ea41bcadba3b48518daedda709af13ef_61_2" hidden="1">#REF!</definedName>
    <definedName name="TRNR_ea52cfe1635446aba8cfd13188216a81_61_2" hidden="1">#REF!</definedName>
    <definedName name="TRNR_ea5bdd0972ca4abe8a9bc012400dc840_73_11" hidden="1">#REF!</definedName>
    <definedName name="TRNR_ea708b6d06694e52870ca5f2421a3096_1084_27" hidden="1">#REF!</definedName>
    <definedName name="TRNR_ea82256a77d04ca5aeb08c479aa5e4ba_61_2" hidden="1">#REF!</definedName>
    <definedName name="TRNR_ea887af7e386489b88cf24f3a737f4f5_61_6" hidden="1">#REF!</definedName>
    <definedName name="TRNR_ea9782e276b74604bd12a8ff326bfbdc_52_37" hidden="1">#REF!</definedName>
    <definedName name="TRNR_eab6da26a6cc4b34aa61ee34174de905_37_5" hidden="1">#REF!</definedName>
    <definedName name="TRNR_eabc6e4690a44d94a635c18009500202_61_2" hidden="1">#REF!</definedName>
    <definedName name="TRNR_eaceab8661ca47ca940d46b6e5312ec3_61_2" hidden="1">#REF!</definedName>
    <definedName name="TRNR_eaf2505efba04f57a64f15e03a449d05_50_1" hidden="1">#REF!</definedName>
    <definedName name="TRNR_eaf7ba724bf14fd1acea4083f8db949f_61_2" hidden="1">#REF!</definedName>
    <definedName name="TRNR_eb23f2f35c554cd9b717872bc25481cc_5824_6" hidden="1">#REF!</definedName>
    <definedName name="TRNR_eb5ecd8dd3cf422a90a57168362845de_61_2" hidden="1">#REF!</definedName>
    <definedName name="TRNR_eb604af7a5144cfea10a8b1053fa4597_61_2" hidden="1">#REF!</definedName>
    <definedName name="TRNR_eb81209fe59d4ab18112d55e4dbe9440_528_6" hidden="1">#REF!</definedName>
    <definedName name="TRNR_eb8305c231644485a62aacb480cf7c32_61_2" hidden="1">#REF!</definedName>
    <definedName name="TRNR_eb9d6c0f73c54d7bb30f82bee89bc04e_61_2" hidden="1">#REF!</definedName>
    <definedName name="TRNR_ebac598c1d6346cf8cec61451aa92e45_6032_6" hidden="1">#REF!</definedName>
    <definedName name="TRNR_ebc53e52846a40afba9b21d3601046a6_528_6" hidden="1">#REF!</definedName>
    <definedName name="TRNR_ebe1c639fac5457ea6d9e8cf2b2c84ec_5838_12" hidden="1">#REF!</definedName>
    <definedName name="TRNR_ebe348e2f6db4f24a006224af7eb0a25_61_2" hidden="1">#REF!</definedName>
    <definedName name="TRNR_ebe3a9e0fe844fb2966758cfcaa022a2_61_2" hidden="1">#REF!</definedName>
    <definedName name="TRNR_ebf41cb2864948a8a16af7a606caefc0_51_3" hidden="1">#REF!</definedName>
    <definedName name="TRNR_ebf5b95fd2f84e17a6c8b1fe1f124e7b_2154_6" hidden="1">#REF!</definedName>
    <definedName name="TRNR_ebf7bb3394d448d4b8e61476c6c2c43b_525_10" hidden="1">#REF!</definedName>
    <definedName name="TRNR_ec200afdeace43358a011662debcacac_61_2" hidden="1">#REF!</definedName>
    <definedName name="TRNR_ec46b09514ef4e94ae04b4f60b6ab4df_525_10" hidden="1">#REF!</definedName>
    <definedName name="TRNR_ec4ee515de6a4d8585d2d5b646c4c89a_524_10" hidden="1">#REF!</definedName>
    <definedName name="TRNR_ec51465863db4b37a51080867ba357b3_61_2" hidden="1">#REF!</definedName>
    <definedName name="TRNR_ec55d217d9de4de68a18b47f49252c6a_525_1" hidden="1">#REF!</definedName>
    <definedName name="TRNR_ec6c9cedae4b49eeb59376df392cf150_246_1" hidden="1">#REF!</definedName>
    <definedName name="TRNR_ec71226c086741788c938a19e5196a32_61_2" hidden="1">#REF!</definedName>
    <definedName name="TRNR_ec83cfefea1e40bba7c52e9c675bdb1a_61_2" hidden="1">#REF!</definedName>
    <definedName name="TRNR_ec86a0f8f94c42e39562f7ecb68df3d9_61_2" hidden="1">#REF!</definedName>
    <definedName name="TRNR_ec8c3154adf04391947b4820a2c1b9ba_61_2" hidden="1">#REF!</definedName>
    <definedName name="TRNR_ec8e7db6c5804465bce1d2737add084d_61_2" hidden="1">'[1]Gráfico 66'!#REF!</definedName>
    <definedName name="TRNR_ec9a699d5cad4f12b1db74734543fb7a_61_2" hidden="1">#REF!</definedName>
    <definedName name="TRNR_ecb24cc7377547299e236a26248d225a_5859_12" hidden="1">#REF!</definedName>
    <definedName name="TRNR_ecc08046c3ee42f4968c34bec68b8891_61_2" hidden="1">#REF!</definedName>
    <definedName name="TRNR_ecf73f11fb5442c991be3362a490d26b_54_3" hidden="1">#REF!</definedName>
    <definedName name="TRNR_ecf84b77c1384d09b900b30adcf9254c_62_295" hidden="1">#REF!</definedName>
    <definedName name="TRNR_ecff7a16e247445fb0673d8ff2cbf295_2023_4" hidden="1">#REF!</definedName>
    <definedName name="TRNR_ed0ef8710d7a45f6b77af10c265d8e63_52_50" hidden="1">#REF!</definedName>
    <definedName name="TRNR_ed1660d7714e42e0a3fd12630fa0b7c9_5867_6" hidden="1">#REF!</definedName>
    <definedName name="TRNR_ed271675892e4ee5ab79ab41753b7783_286_26" hidden="1">#REF!</definedName>
    <definedName name="TRNR_ed2a8a5d90504c06ba04f5ac54fa0afe_61_2" hidden="1">#REF!</definedName>
    <definedName name="TRNR_ed2b09a814834f3e8e7f997e710df8d9_61_2" hidden="1">#REF!</definedName>
    <definedName name="TRNR_ed3f6ea9a8d14528972a893ead0b67af_61_2" hidden="1">#REF!</definedName>
    <definedName name="TRNR_ed48f6a4e84d48c4a5b653429533cd70_524_10" hidden="1">#REF!</definedName>
    <definedName name="TRNR_ed59a0d36a0d4a95be3d55c2984715d5_61_2" hidden="1">#REF!</definedName>
    <definedName name="TRNR_ed5c54b776ac4ed69568d5f3f422635f_6016_6" hidden="1">#REF!</definedName>
    <definedName name="TRNR_ed62a8008dd24f4c8cd5a5e1e17961b8_53_3" hidden="1">#REF!</definedName>
    <definedName name="TRNR_ed685b7032da448dae6e7220f1a3fb1c_50_3" hidden="1">#REF!</definedName>
    <definedName name="TRNR_ed71219607f342b8a6d39f7ecb9f43a2_61_2" hidden="1">'[1]Gráfico 66'!#REF!</definedName>
    <definedName name="TRNR_ed799e6528e14949abe79578d1291a00_4914_3" hidden="1">#REF!</definedName>
    <definedName name="TRNR_ed7ff1216696427aa9099eab6d0505aa_527_6" hidden="1">#REF!</definedName>
    <definedName name="TRNR_ed8cf6998922482d92e63227a0904288_2127_6" hidden="1">#REF!</definedName>
    <definedName name="TRNR_eda106c256f2475bbc0b56a43dad02aa_976_2" hidden="1">#REF!</definedName>
    <definedName name="TRNR_edb1813177984f8e8c9fc674577cf59d_55_3" hidden="1">#REF!</definedName>
    <definedName name="TRNR_edb8983c1285462abeb861269623970f_61_2" hidden="1">#REF!</definedName>
    <definedName name="TRNR_edc0c1bab27a4c979856e77285d894ab_61_2" hidden="1">#REF!</definedName>
    <definedName name="TRNR_edc23b4b38544a2cb30f0f77afcae08b_61_2" hidden="1">#REF!</definedName>
    <definedName name="TRNR_edc7c13263264cd08f14d2b1d8b47636_54_3" hidden="1">#REF!</definedName>
    <definedName name="TRNR_ede43f8c4347487c93efaaab6233fe94_61_2" hidden="1">#REF!</definedName>
    <definedName name="TRNR_edf842dbf8eb4c548d7287b20bdceae0_47_50" hidden="1">#REF!</definedName>
    <definedName name="TRNR_edffb48433474f7a8076b96d904ba830_977_7" hidden="1">#REF!</definedName>
    <definedName name="TRNR_ee09c53e53774809b81e0a0edf122fed_527_7" hidden="1">#REF!</definedName>
    <definedName name="TRNR_ee158bee9522490793d1d08c107cef53_61_2" hidden="1">#REF!</definedName>
    <definedName name="TRNR_ee255472f8ce43f6bc72adde24abb4fb_524_1" hidden="1">#REF!</definedName>
    <definedName name="TRNR_ee289e790f61452ca47c8d2461058f7c_61_2" hidden="1">#REF!</definedName>
    <definedName name="TRNR_ee2afab78d39441097be9160b646756b_61_2" hidden="1">#REF!</definedName>
    <definedName name="TRNR_ee3183469bd748efa21bbc7e071d613c_5870_6" hidden="1">#REF!</definedName>
    <definedName name="TRNR_ee341a338aff43659183d06439be97b3_61_2" hidden="1">#REF!</definedName>
    <definedName name="TRNR_ee40a5cb7f68480b97933c58ba75aa63_61_2" hidden="1">#REF!</definedName>
    <definedName name="TRNR_ee4b9099e3704a91a7a67f56aac67872_52_3" hidden="1">#REF!</definedName>
    <definedName name="TRNR_ee5476d2b9754ba888dc81817c726491_6406_2" hidden="1">#REF!</definedName>
    <definedName name="TRNR_ee60c6663cd64fdd9060fda8a6225290_50_1" hidden="1">#REF!</definedName>
    <definedName name="TRNR_ee7665932e2f4c629e954e8b33a2e8cd_51_3" hidden="1">#REF!</definedName>
    <definedName name="TRNR_ee7eb3df7d8d4ac8a70dec3c99fabc3a_61_2" hidden="1">#REF!</definedName>
    <definedName name="TRNR_ee8d15478c044687b3d29e060d570555_112_3" hidden="1">#REF!</definedName>
    <definedName name="TRNR_eeaabb2cd9054869bb195a71b79cc9f2_61_2" hidden="1">#REF!</definedName>
    <definedName name="TRNR_eeb8d59a17294e30b59e5a0296608e86_61_2" hidden="1">#REF!</definedName>
    <definedName name="TRNR_eec9d2e8606a4b4694a00aab3957b7d7_59_3" hidden="1">#REF!</definedName>
    <definedName name="TRNR_eed12b61df9240f699d0aa975fcbb002_61_2" hidden="1">#REF!</definedName>
    <definedName name="TRNR_eede0b716d574ec18b68e7fe675e2010_5832_12" hidden="1">#REF!</definedName>
    <definedName name="TRNR_eee18211e3784b13984ba6f5b432262b_61_2" hidden="1">#REF!</definedName>
    <definedName name="TRNR_eef6a65a11474a48b4999a03babbf7df_61_2" hidden="1">#REF!</definedName>
    <definedName name="TRNR_eef969ac18964f37a4385a7aadab0feb_20_4" hidden="1">#REF!</definedName>
    <definedName name="TRNR_eefbdfd35a634416987991274a6ed2f9_61_2" hidden="1">#REF!</definedName>
    <definedName name="TRNR_ef1128061d0049b4aef217924db403c4_61_2" hidden="1">'[1]Gráfico 66'!#REF!</definedName>
    <definedName name="TRNR_ef1b20f43e9e4604b612976450864b15_20_4" hidden="1">#REF!</definedName>
    <definedName name="TRNR_ef1d4c29b8e84c15bdc53e74345b0bd2_61_2" hidden="1">#REF!</definedName>
    <definedName name="TRNR_ef1ef5cf236647a994f51662d45b0204_192_3" hidden="1">#REF!</definedName>
    <definedName name="TRNR_ef1f16d6e87a48dc9afcb5091f28b678_101_6" hidden="1">#REF!</definedName>
    <definedName name="TRNR_ef296ec1ff1e4541a62dedf058f7fb71_61_2" hidden="1">#REF!</definedName>
    <definedName name="TRNR_ef44a11f570e4a3c9315c7b9da75f248_61_2" hidden="1">#REF!</definedName>
    <definedName name="TRNR_ef4af23b0600494f8674cc5901904848_61_2" hidden="1">#REF!</definedName>
    <definedName name="TRNR_ef6bd3d29fca4372985bf7772164a472_103_4" hidden="1">#REF!</definedName>
    <definedName name="TRNR_ef6c37a2470143dabcc9dab2b9c35a30_61_2" hidden="1">#REF!</definedName>
    <definedName name="TRNR_ef77d507af334cd296ba3bcf2a231b02_61_2" hidden="1">#REF!</definedName>
    <definedName name="TRNR_efb5257350964a6b991b276f4ad3ca69_61_2" hidden="1">#REF!</definedName>
    <definedName name="TRNR_efba43328e064500a75f527193cb4251_52_37" hidden="1">#REF!</definedName>
    <definedName name="TRNR_efc9f72816bd41c2a0766c6276abbf38_5847_12" hidden="1">#REF!</definedName>
    <definedName name="TRNR_efd2cdf98d934480bd4991bd25785846_5869_12" hidden="1">#REF!</definedName>
    <definedName name="TRNR_efd760dae4264b459d1c0bee938609c4_988_27" hidden="1">#REF!</definedName>
    <definedName name="TRNR_efe1d80a4d544825acf2e66f70b6d8fb_307_4" hidden="1">'[1]Gráfico 66'!#REF!</definedName>
    <definedName name="TRNR_eff093f093f34c0b8d2fba70213a24fe_528_7" hidden="1">#REF!</definedName>
    <definedName name="TRNR_eff2259306964b8d88f5bcf698c96c6f_61_2" hidden="1">'[1]Gráfico 66'!#REF!</definedName>
    <definedName name="TRNR_f0036c9f59a44df5a55ad073ebfd9fa3_61_2" hidden="1">#REF!</definedName>
    <definedName name="TRNR_f003e657f4204193b2969d85490cee0c_6143_4" hidden="1">#REF!</definedName>
    <definedName name="TRNR_f0059bc139654976b113b40de1ee15df_61_2" hidden="1">#REF!</definedName>
    <definedName name="TRNR_f009dc2ebaf94d2db8c608ff496d06e0_6040_6" hidden="1">#REF!</definedName>
    <definedName name="TRNR_f02088b2a5df449585a9d77e72d2b238_61_2" hidden="1">#REF!</definedName>
    <definedName name="TRNR_f02edc5ee5a34850b3222788a15d17b0_528_6" hidden="1">#REF!</definedName>
    <definedName name="TRNR_f052ca0abe474badaebb7ca1ccb95b01_528_7" hidden="1">#REF!</definedName>
    <definedName name="TRNR_f05667d34fbd4d869a7bf7a300906b06_61_2" hidden="1">'[1]Gráfico 66'!#REF!</definedName>
    <definedName name="TRNR_f05fdc0a26564fa2bd37b9c6b0609ed5_525_6" hidden="1">#REF!</definedName>
    <definedName name="TRNR_f06032e295d64d938a77cc34923745f5_61_2" hidden="1">#REF!</definedName>
    <definedName name="TRNR_f06145872eca4e42a74d914f2c501d1b_61_2" hidden="1">#REF!</definedName>
    <definedName name="TRNR_f06981beffb24ff0ba6162f3ffbf51a4_61_2" hidden="1">#REF!</definedName>
    <definedName name="TRNR_f069fb2ea1f748b6bb6c2811251aa216_50_3" hidden="1">#REF!</definedName>
    <definedName name="TRNR_f07db986308a4913b4348372b034cb30_2871_1" hidden="1">#REF!</definedName>
    <definedName name="TRNR_f07eb229f88e4729a80cc8bb1cdd53fc_61_2" hidden="1">#REF!</definedName>
    <definedName name="TRNR_f08e8ab1facc4f709f6c854d75da277b_61_2" hidden="1">#REF!</definedName>
    <definedName name="TRNR_f098ea3aa4a24af88cd1cfd246c3f9a1_61_2" hidden="1">'[1]Gráfico 66'!#REF!</definedName>
    <definedName name="TRNR_f09e99cfbdd64d0f9ab8f66fa6b85c85_61_2" hidden="1">#REF!</definedName>
    <definedName name="TRNR_f0a1f17703b943bfba278d1338cd6d00_61_2" hidden="1">#REF!</definedName>
    <definedName name="TRNR_f0a46760cca944568e0edf62acc02d2d_1050_2" hidden="1">#REF!</definedName>
    <definedName name="TRNR_f0c05fb661b74402ab738495c5c1c320_61_2" hidden="1">#REF!</definedName>
    <definedName name="TRNR_f0ce2835a371444ab7a97789bc5f8e7a_61_2" hidden="1">#REF!</definedName>
    <definedName name="TRNR_f0d7d7a089a5473c8b0a343e4d3cbfd5_40_37" hidden="1">#REF!</definedName>
    <definedName name="TRNR_f0e19563fa9143fab921ded3b5ba7a23_61_2" hidden="1">#REF!</definedName>
    <definedName name="TRNR_f0e2fcacf6914974af2882801baf53d0_61_2" hidden="1">#REF!</definedName>
    <definedName name="TRNR_f0f218ca71ea4d75a0c9e105f3cb8dbe_61_2" hidden="1">#REF!</definedName>
    <definedName name="TRNR_f0f49b46d78e4f82b8f96f89cddab1af_61_11" hidden="1">#REF!</definedName>
    <definedName name="TRNR_f0f75a9fbc4e4e318e4face7c5a4551a_61_2" hidden="1">'[1]Gráfico 66'!#REF!</definedName>
    <definedName name="TRNR_f123494ba0fe4fe58d0331899a0df945_99_6" hidden="1">#REF!</definedName>
    <definedName name="TRNR_f12a4f38e9914f578dd5daed3a8d9229_61_2" hidden="1">#REF!</definedName>
    <definedName name="TRNR_f14b93845dab40f5b1095e914e98d3c9_284_8" hidden="1">#REF!</definedName>
    <definedName name="TRNR_f1535d73bb474633b72eba435b0ab180_61_2" hidden="1">#REF!</definedName>
    <definedName name="TRNR_f1634ed581504692a3efb96e8f31f5c7_47_50" hidden="1">#REF!</definedName>
    <definedName name="TRNR_f1665bececfd45c3a9e9bdf5f9bb0dfd_61_2" hidden="1">#REF!</definedName>
    <definedName name="TRNR_f168a97535614e27ba3aaffa9daac5f1_61_2" hidden="1">#REF!</definedName>
    <definedName name="TRNR_f17871ef92fb4e6f83841ea8963d03e0_61_2" hidden="1">'[1]Gráfico 66'!#REF!</definedName>
    <definedName name="TRNR_f17c33492229474aa8c75f855c86aa3c_1227_14" hidden="1">#REF!</definedName>
    <definedName name="TRNR_f17fdebe6e6045ae9e5ccd83949adb29_318_16" hidden="1">#REF!</definedName>
    <definedName name="TRNR_f1a652bc513e41479df921ac5cb78046_21_9" hidden="1">#REF!</definedName>
    <definedName name="TRNR_f1e42922d8ec4138875e30956077c6c6_6230_6" hidden="1">#REF!</definedName>
    <definedName name="TRNR_f1f9b1197b2d4c3eaac4585b8396470f_5956_6" hidden="1">#REF!</definedName>
    <definedName name="TRNR_f203e674348140499562999abcfa5b53_61_2" hidden="1">#REF!</definedName>
    <definedName name="TRNR_f20f99bf9ed8495da7b848ccdc91c0ae_61_2" hidden="1">#REF!</definedName>
    <definedName name="TRNR_f2229256cf2f4a1ea80b815c0ccf4739_61_2" hidden="1">#REF!</definedName>
    <definedName name="TRNR_f225cdfba8d044b9ad3e9740ea3bc2e2_2031_6" hidden="1">#REF!</definedName>
    <definedName name="TRNR_f227754a001c4c08a2f5ddcbcabbac08_974_2" hidden="1">#REF!</definedName>
    <definedName name="TRNR_f242509ad5e04652b98733b1adc3cb0f_61_2" hidden="1">#REF!</definedName>
    <definedName name="TRNR_f25b7c73488343d092a9d10b36873257_528_6" hidden="1">#REF!</definedName>
    <definedName name="TRNR_f2641216c928430fb4921739a7bbdd81_61_2" hidden="1">#REF!</definedName>
    <definedName name="TRNR_f283220fe83f470b95f72c34ce82f713_61_2" hidden="1">#REF!</definedName>
    <definedName name="TRNR_f2b237b35ae14b189763319c6b65e0f1_5873_6" hidden="1">#REF!</definedName>
    <definedName name="TRNR_f2b38552dfb34c53b33bf9fb51f8d879_61_2" hidden="1">#REF!</definedName>
    <definedName name="TRNR_f2b56c39114f40018d62f5ade0aff137_61_2" hidden="1">#REF!</definedName>
    <definedName name="TRNR_f2c4bbfb5661470299a9d0335e2c3145_977_2" hidden="1">#REF!</definedName>
    <definedName name="TRNR_f2d63086e8484023ae2611664d199d3d_61_2" hidden="1">#REF!</definedName>
    <definedName name="TRNR_f2e8b68c382a42ef8fbab4ce09dfa7d5_61_2" hidden="1">#REF!</definedName>
    <definedName name="TRNR_f2effba8f6e942e4bde1562c56c6444e_527_7" hidden="1">#REF!</definedName>
    <definedName name="TRNR_f31cc9ab7e0f427bbc7853ab69560bb9_525_10" hidden="1">#REF!</definedName>
    <definedName name="TRNR_f33b9b605eea423b9db4a657696d5c39_6137_4" hidden="1">#REF!</definedName>
    <definedName name="TRNR_f33ffd17d9924b909147a500bc3d97ad_61_2" hidden="1">#REF!</definedName>
    <definedName name="TRNR_f345a20e9aad428193eda309a06b9e93_62_11" hidden="1">#REF!</definedName>
    <definedName name="TRNR_f346a09ffe3e4b0ebd774a8d0d053a5b_102_6" hidden="1">#REF!</definedName>
    <definedName name="TRNR_f350fa68cb2a416480c6095eb77abc8c_61_2" hidden="1">#REF!</definedName>
    <definedName name="TRNR_f36424d266cb462f9e103e1bbb2d2026_2079_6" hidden="1">#REF!</definedName>
    <definedName name="TRNR_f36dd813452545d2a36da09c0e9eb6e1_61_2" hidden="1">#REF!</definedName>
    <definedName name="TRNR_f37bb3a4a2c842498b19fd80c9b9a443_94_3" hidden="1">#REF!</definedName>
    <definedName name="TRNR_f37ec43c3030405a82962ecef7c7c875_61_2" hidden="1">#REF!</definedName>
    <definedName name="TRNR_f38c598520224575ac0b5a8fecf90d6a_6009_6" hidden="1">#REF!</definedName>
    <definedName name="TRNR_f38d8a286752476d82dd7a5d99e9c129_61_2" hidden="1">#REF!</definedName>
    <definedName name="TRNR_f3a1e800ef554238acb689b6eaf5f23c_61_2" hidden="1">#REF!</definedName>
    <definedName name="TRNR_f3db197803d2432aae35de0213ee0a34_1043_27" hidden="1">#REF!</definedName>
    <definedName name="TRNR_f3e0c9c9a592481189c51b48ff1e5c59_2085_6" hidden="1">#REF!</definedName>
    <definedName name="TRNR_f3e39dfbf5e14de6860dfbba39049a56_61_2" hidden="1">#REF!</definedName>
    <definedName name="TRNR_f3f3a9c9695d473bb049908a0ddd302f_1066_27" hidden="1">#REF!</definedName>
    <definedName name="TRNR_f3fa936085354431a7009c09bd144915_320_10" hidden="1">#REF!</definedName>
    <definedName name="TRNR_f4047628c99f4a198ab0bd5e5646a0db_61_2" hidden="1">'[1]Gráfico 66'!#REF!</definedName>
    <definedName name="TRNR_f40c2bcd6c5f4397bae219a6792a9d32_525_10" hidden="1">#REF!</definedName>
    <definedName name="TRNR_f41e87421dea43e4b6be33b27b026179_61_2" hidden="1">#REF!</definedName>
    <definedName name="TRNR_f42124b8e7f145f19ab36d7920546575_62_11" hidden="1">#REF!</definedName>
    <definedName name="TRNR_f43f4e41bbf043ed9fdc441945c5a148_528_7" hidden="1">#REF!</definedName>
    <definedName name="TRNR_f44a6869dcd54ba386e5420e6012d4a7_61_2" hidden="1">#REF!</definedName>
    <definedName name="TRNR_f456c2a2c55d4d4cac9c2373de666685_528_7" hidden="1">#REF!</definedName>
    <definedName name="TRNR_f45a885ebd8f4e4d8f34e0879c7ae93b_525_10" hidden="1">#REF!</definedName>
    <definedName name="TRNR_f45bc8e65af3451bbec258c56dd65ce4_61_2" hidden="1">#REF!</definedName>
    <definedName name="TRNR_f45d53b2bc9b42d4819a2e89546fc8b9_25_6" hidden="1">#REF!</definedName>
    <definedName name="TRNR_f46287e8cca44d24afcdbec78f08002e_61_2" hidden="1">#REF!</definedName>
    <definedName name="TRNR_f475b25a60974f0a8f9e664ec69e8bae_61_2" hidden="1">#REF!</definedName>
    <definedName name="TRNR_f47d4b0cc98345eb85d052075231b555_61_2" hidden="1">#REF!</definedName>
    <definedName name="TRNR_f483e07e38d74ee9b39c8940e397b919_61_2" hidden="1">#REF!</definedName>
    <definedName name="TRNR_f484e67eafe34db9b67f28a84824f46b_6045_2" hidden="1">#REF!</definedName>
    <definedName name="TRNR_f49a03e9df6a44f6b1a92cd53f111dbb_525_10" hidden="1">#REF!</definedName>
    <definedName name="TRNR_f4a4450574eb49c8a9ef59d0c1be6204_61_2" hidden="1">#REF!</definedName>
    <definedName name="TRNR_f4f0909891044b58a9d1b9539fddd563_61_2" hidden="1">#REF!</definedName>
    <definedName name="TRNR_f50e1e1fd8234851ad5dfa089270c631_19_9" hidden="1">#REF!</definedName>
    <definedName name="TRNR_f5101fb192594e1d8fced435eb8354cc_61_2" hidden="1">'[1]Gráfico 66'!#REF!</definedName>
    <definedName name="TRNR_f51a28fc1bff46d7935f0512d27751e8_283_6" hidden="1">#REF!</definedName>
    <definedName name="TRNR_f527b29d8bb64a00a5177a10395545fa_52_50" hidden="1">#REF!</definedName>
    <definedName name="TRNR_f52f605b4da844389de2b06d7b65c40f_61_2" hidden="1">#REF!</definedName>
    <definedName name="TRNR_f54a450b33a34c00885a65c4c1b2fa34_977_14" hidden="1">#REF!</definedName>
    <definedName name="TRNR_f5518ee344184210a18595329523a5b8_61_2" hidden="1">#REF!</definedName>
    <definedName name="TRNR_f556a3c5d7f346de97584914b861d221_61_2" hidden="1">#REF!</definedName>
    <definedName name="TRNR_f5670922787a44f1ab98be6e5521e617_61_2" hidden="1">#REF!</definedName>
    <definedName name="TRNR_f57bbae6e3694350816b7054797a0652_61_2" hidden="1">#REF!</definedName>
    <definedName name="TRNR_f57d79fb0f2b4530a78cef52aaeb810e_6006_6" hidden="1">#REF!</definedName>
    <definedName name="TRNR_f58215c22be84c998d82d6b6490efd21_61_2" hidden="1">#REF!</definedName>
    <definedName name="TRNR_f5982e366df746eda7928cb4ffb5f0ee_246_1" hidden="1">#REF!</definedName>
    <definedName name="TRNR_f59ca13216374ddd99296c39f4072833_2_1" hidden="1">#REF!</definedName>
    <definedName name="TRNR_f5abe05efae7404a8cb818aee6ff412e_5965_6" hidden="1">#REF!</definedName>
    <definedName name="TRNR_f5c2d9a81bb94ae4a5dbf4de4e4469be_61_2" hidden="1">#REF!</definedName>
    <definedName name="TRNR_f5c925e214cc45b88bf4163a91ee065f_101_6" hidden="1">#REF!</definedName>
    <definedName name="TRNR_f5c9e3a58ed74a5a99cfdc8bce2192d2_61_2" hidden="1">#REF!</definedName>
    <definedName name="TRNR_f5da9eadd3c24a80a716718d11d838a5_61_2" hidden="1">#REF!</definedName>
    <definedName name="TRNR_f5de09d708714265a4a69219cfbcf7f3_528_7" hidden="1">#REF!</definedName>
    <definedName name="TRNR_f5e471d4733e4950a3745b65acdf367f_61_2" hidden="1">#REF!</definedName>
    <definedName name="TRNR_f5e8e473f2f04a24a9fde3791f1bcbba_326_10" hidden="1">#REF!</definedName>
    <definedName name="TRNR_f5f1e034479d4a4798da055062849be4_108_4" hidden="1">#REF!</definedName>
    <definedName name="TRNR_f5f2cf0224aa41aab703f973e45724a3_61_2" hidden="1">#REF!</definedName>
    <definedName name="TRNR_f603346e693542689759f78c2950653c_61_2" hidden="1">#REF!</definedName>
    <definedName name="TRNR_f62206d0e44c42e29f47de4af7540259_61_2" hidden="1">'[1]Gráfico 66'!#REF!</definedName>
    <definedName name="TRNR_f66a27a42e104d6cb8055af8ad60e04a_5860_6" hidden="1">#REF!</definedName>
    <definedName name="TRNR_f6a14ba99eae4d24bf63924b11c77c16_61_10" hidden="1">#REF!</definedName>
    <definedName name="TRNR_f6a8f24744b2419c97b8e8c68ac9ae9a_524_1" hidden="1">#REF!</definedName>
    <definedName name="TRNR_f6accfd311ca4bf7a1e596a152dca4ae_990_27" hidden="1">#REF!</definedName>
    <definedName name="TRNR_f6b8d41d637d4009b9b855a99034371c_2_1" hidden="1">#REF!</definedName>
    <definedName name="TRNR_f6d956d11e2e442c9ca0821131b6cddd_61_2" hidden="1">#REF!</definedName>
    <definedName name="TRNR_f6e3c363c09d4e869b3feb4329fb2631_73_11" hidden="1">#REF!</definedName>
    <definedName name="TRNR_f6ef98adf9c74c0b84b93ada85d91c8e_50_3" hidden="1">#REF!</definedName>
    <definedName name="TRNR_f6ffdf1337684d9190851d0e85df2391_61_2" hidden="1">#REF!</definedName>
    <definedName name="TRNR_f704c09774b84f0d8a5f1f5592861cfd_206_1" hidden="1">#REF!</definedName>
    <definedName name="TRNR_f7057d70f3244816a8c18d9ef4ed9a87_1306_1" hidden="1">#REF!</definedName>
    <definedName name="TRNR_f725f0d819594b6a963981f42d05a744_99_6" hidden="1">#REF!</definedName>
    <definedName name="TRNR_f74d80ae891c40d1b1b3f513f99f4609_4911_9" hidden="1">#REF!</definedName>
    <definedName name="TRNR_f7778ef736ee4d4089951364e2c75538_920_10" hidden="1">#REF!</definedName>
    <definedName name="TRNR_f7820f04a643436ea44a6040953d5062_50_2" hidden="1">#REF!</definedName>
    <definedName name="TRNR_f786d03fd0ab4995a6f1ce386a483ce1_61_2" hidden="1">#REF!</definedName>
    <definedName name="TRNR_f79f263e03b14a6fa88cdc39ee758394_61_2" hidden="1">#REF!</definedName>
    <definedName name="TRNR_f7bc5eec50164d9da5b32f9320122bb9_281_26" hidden="1">#REF!</definedName>
    <definedName name="TRNR_f7c2eebb6c014310ac5db1ff0caf7426_33_15" hidden="1">#REF!</definedName>
    <definedName name="TRNR_f7d38bbf24234a619739d2e220a50f62_6049_6" hidden="1">#REF!</definedName>
    <definedName name="TRNR_f7db61d843094f78aa19d6a2d6a7e160_61_2" hidden="1">#REF!</definedName>
    <definedName name="TRNR_f7ee0ba1c3894105ac96d522481b5bf9_5836_12" hidden="1">#REF!</definedName>
    <definedName name="TRNR_f7f7b4e85c6f40c09591301a64f5bb88_61_2" hidden="1">'[1]Gráfico 66'!#REF!</definedName>
    <definedName name="TRNR_f80b1431a1ca4cdc8e4d23e485c93308_61_2" hidden="1">#REF!</definedName>
    <definedName name="TRNR_f81280ecedd84e638e1dbce2ca8fe376_41_4" hidden="1">#REF!</definedName>
    <definedName name="TRNR_f817e6b9accd4f7bae321c77564d9c43_5812_6" hidden="1">#REF!</definedName>
    <definedName name="TRNR_f819ebd9ab754db8bc57ea71c40a4b42_61_2" hidden="1">#REF!</definedName>
    <definedName name="TRNR_f824cf2da24f454dbcfe20678bdaae3f_2901_2" hidden="1">#REF!</definedName>
    <definedName name="TRNR_f82d60339d674a8497246752756b9d25_99_6" hidden="1">#REF!</definedName>
    <definedName name="TRNR_f845b55c12f849838073fd29d2839ca4_61_2" hidden="1">#REF!</definedName>
    <definedName name="TRNR_f84c5cd4765845e3b6f18097db756fcf_20_2" hidden="1">#REF!</definedName>
    <definedName name="TRNR_f8939ee0b84b4b77a384a0494a492b4b_5894_12" hidden="1">#REF!</definedName>
    <definedName name="TRNR_f8962e9c94ef4ddb8825d16ee91c2a72_40_49" hidden="1">#REF!</definedName>
    <definedName name="TRNR_f8a139f3ef8a48f692a16c6f443be94d_61_2" hidden="1">#REF!</definedName>
    <definedName name="TRNR_f8a2535aca3d4e448ab636c9c6429453_61_2" hidden="1">'[1]Gráfico 66'!#REF!</definedName>
    <definedName name="TRNR_f8a3c10643314525b0aec40b0235735f_1_59" hidden="1">#REF!</definedName>
    <definedName name="TRNR_f8ad07e900a3460bb040bfeec9bc1e15_61_2" hidden="1">#REF!</definedName>
    <definedName name="TRNR_f8ad172b77b2491792f2abb0263ce0dd_61_2" hidden="1">#REF!</definedName>
    <definedName name="TRNR_f8db08e9647c45bfb928878696ba64a8_61_2" hidden="1">#REF!</definedName>
    <definedName name="TRNR_f8f7f5f2bfd5461bb4bfc10410cc362f_61_2" hidden="1">#REF!</definedName>
    <definedName name="TRNR_f8f884a82c55415fb5a2c4a608222a75_6_2" hidden="1">#REF!</definedName>
    <definedName name="TRNR_f90a89f9f8f247f3863468a59345be0a_61_2" hidden="1">#REF!</definedName>
    <definedName name="TRNR_f9160c40be1144249f482e33bd8b262f_282_6" hidden="1">#REF!</definedName>
    <definedName name="TRNR_f91dcd8c4c9b454cb4adca4543550ea9_61_2" hidden="1">#REF!</definedName>
    <definedName name="TRNR_f920f39f80924f3c9966d21e64c3ff1c_528_6" hidden="1">#REF!</definedName>
    <definedName name="TRNR_f920f660e43d4bea88dfeb9df16b8962_314_3" hidden="1">'[1]Gráfico 65'!#REF!</definedName>
    <definedName name="TRNR_f9211a3bceba4a6899cc67dc2afd8ec7_61_2" hidden="1">#REF!</definedName>
    <definedName name="TRNR_f925c4a197dd48f4979d911111cd9ef6_61_2" hidden="1">'[1]Gráfico 66'!#REF!</definedName>
    <definedName name="TRNR_f937b68225a64e229531fa98d1a94aa2_237_4" hidden="1">#REF!</definedName>
    <definedName name="TRNR_f93891578fc349709b2064b14a7eaf64_55_3" hidden="1">#REF!</definedName>
    <definedName name="TRNR_f947af7547a84ef6bb66d290d392e3e0_61_2" hidden="1">#REF!</definedName>
    <definedName name="TRNR_f94a736c03bc43afb20bb78e93fd5f24_277_6" hidden="1">#REF!</definedName>
    <definedName name="TRNR_f94c2f02560947ab9ffc36164d53bf54_6406_2" hidden="1">#REF!</definedName>
    <definedName name="TRNR_f9501eb522db4f76a846f398768f6e3c_4912_9" hidden="1">#REF!</definedName>
    <definedName name="TRNR_f95209d1cca1415ab880498901a94d76_267_24" hidden="1">#REF!</definedName>
    <definedName name="TRNR_f95409840b254841aabfd840dacab8a7_528_6" hidden="1">#REF!</definedName>
    <definedName name="TRNR_f960a47ff7524f13a177d444509778b7_61_2" hidden="1">#REF!</definedName>
    <definedName name="TRNR_f96beb69fba246cca5da56adcc10217b_61_2" hidden="1">#REF!</definedName>
    <definedName name="TRNR_f9954a44d23e4f04a36c3734e7a10b32_61_2" hidden="1">'[1]Gráfico 66'!#REF!</definedName>
    <definedName name="TRNR_f9b5717a13fb4ca8a6d4bab84abd193c_61_2" hidden="1">#REF!</definedName>
    <definedName name="TRNR_f9b7e565e14c49c197a2562fda46c5ec_61_2" hidden="1">#REF!</definedName>
    <definedName name="TRNR_f9de9e5da55b4eed875ae4c4e1e02a7e_61_2" hidden="1">#REF!</definedName>
    <definedName name="TRNR_fa04e82bcb414b46a8e9dd019dbeb1b6_53_3" hidden="1">#REF!</definedName>
    <definedName name="TRNR_fa07a3a851044fb689da213d7fa4e0ff_61_2" hidden="1">#REF!</definedName>
    <definedName name="TRNR_fa0869ac006f4b63acae2d4382a3e6b1_52_6" hidden="1">#REF!</definedName>
    <definedName name="TRNR_fa3816e387a047fca9bd2f5e79ab1c56_61_2" hidden="1">#REF!</definedName>
    <definedName name="TRNR_fa442b4672354eac92f0ba3b1e54fd96_121_10" hidden="1">#REF!</definedName>
    <definedName name="TRNR_fa4e9df2e3c9465f8681617c70c54037_56_3" hidden="1">#REF!</definedName>
    <definedName name="TRNR_fa584282059c4969b7975f7a9a7be5a7_61_2" hidden="1">#REF!</definedName>
    <definedName name="TRNR_fa673275dbcb445f96239a0853f578ba_61_2" hidden="1">#REF!</definedName>
    <definedName name="TRNR_fa6ed53a66524118aeb4377d860960cb_29_6" hidden="1">#REF!</definedName>
    <definedName name="TRNR_fa8c793ec26941248826467b2526948a_61_2" hidden="1">#REF!</definedName>
    <definedName name="TRNR_faa2d553bf834546a040bd57387a2c13_61_2" hidden="1">#REF!</definedName>
    <definedName name="TRNR_fab36c9191c54becb5596095de1d55a4_61_2" hidden="1">#REF!</definedName>
    <definedName name="TRNR_fab80766a43543d5867872f94d3ad64f_5998_6" hidden="1">#REF!</definedName>
    <definedName name="TRNR_fabaf9866f8447068639f8a5aea8cac2_5860_12" hidden="1">#REF!</definedName>
    <definedName name="TRNR_fabe0bcdf4bf43c8906abc175545a79e_61_2" hidden="1">#REF!</definedName>
    <definedName name="TRNR_fac14952899c4d7b8060e6dc10c99f82_61_2" hidden="1">#REF!</definedName>
    <definedName name="TRNR_fac26e3fb0c84650962595a3d33ad38b_61_2" hidden="1">#REF!</definedName>
    <definedName name="TRNR_fad3107070ac4aae986dad1ad6d16258_194_1" hidden="1">#REF!</definedName>
    <definedName name="TRNR_fad433f1c6c94aa797b56ba3fef7faa1_61_2" hidden="1">#REF!</definedName>
    <definedName name="TRNR_faed1af1927b4da5b6d6b91de702a2bb_61_2" hidden="1">#REF!</definedName>
    <definedName name="TRNR_faef5c5f99c54814ae8a7ca0bbf3ca92_285_6" hidden="1">#REF!</definedName>
    <definedName name="TRNR_fafb1006fd6c4fccbf81b59dec4edf00_50_3" hidden="1">#REF!</definedName>
    <definedName name="TRNR_fb1f300678f145d5bb8cb2077d5d6983_61_2" hidden="1">#REF!</definedName>
    <definedName name="TRNR_fb26d0196fe84b1295849004336b1f8b_61_2" hidden="1">#REF!</definedName>
    <definedName name="TRNR_fb29d194e134412da9b116e7b9002e8c_61_2" hidden="1">#REF!</definedName>
    <definedName name="TRNR_fb3a8675608544c385091b0aeb11c7fe_20_4" hidden="1">#REF!</definedName>
    <definedName name="TRNR_fb4924849cbd435980c6f394bcf470e1_61_2" hidden="1">#REF!</definedName>
    <definedName name="TRNR_fb58c2691dbc429b833ddd9833f38d31_61_2" hidden="1">'[1]Gráfico 66'!#REF!</definedName>
    <definedName name="TRNR_fb6a05e0f5bf473ea77dcc12372caecc_5872_6" hidden="1">#REF!</definedName>
    <definedName name="TRNR_fb6b397456174f458c9da318a593a90f_523_1" hidden="1">#REF!</definedName>
    <definedName name="TRNR_fb7eede83718471ebc4f6852221f54ca_59_3" hidden="1">#REF!</definedName>
    <definedName name="TRNR_fb870d2df02b48e0a1f51c5b53912e09_309_18" hidden="1">#REF!</definedName>
    <definedName name="TRNR_fb9750356d1c4452b3efdbd30591e7ae_61_2" hidden="1">#REF!</definedName>
    <definedName name="TRNR_fb989c7c596a49d796bab97f15ef386e_61_2" hidden="1">#REF!</definedName>
    <definedName name="TRNR_fbb207dd536f4fcabb0e7e9eff5aa62d_2124_6" hidden="1">#REF!</definedName>
    <definedName name="TRNR_fbb5accc519647aa8b5c67652d15f9d9_5880_12" hidden="1">#REF!</definedName>
    <definedName name="TRNR_fbb6ef391f4147ba810af6642657dddd_61_2" hidden="1">#REF!</definedName>
    <definedName name="TRNR_fbcac526d9544836a9927efa62818d0e_2_1" hidden="1">#REF!</definedName>
    <definedName name="TRNR_fbd622e41e684950a63e7fae0326d3a2_19_9" hidden="1">#REF!</definedName>
    <definedName name="TRNR_fbe05c1c5faa42afb92196d0cb067b71_20_4" hidden="1">#REF!</definedName>
    <definedName name="TRNR_fbe1d51559f847068d0a4d1acbb0e6a5_1051_2" hidden="1">#REF!</definedName>
    <definedName name="TRNR_fbe8e9f2cef24095953267a6db582171_61_2" hidden="1">'[1]Gráfico 66'!#REF!</definedName>
    <definedName name="TRNR_fc0a8e34fe1c4257bc0b282fa82fa90d_61_2" hidden="1">#REF!</definedName>
    <definedName name="TRNR_fc10ddeb630a4d188b840162c7c6608c_61_2" hidden="1">#REF!</definedName>
    <definedName name="TRNR_fc1c3b31c7b543afb5d7b025fb7e0bf8_1197_27" hidden="1">#REF!</definedName>
    <definedName name="TRNR_fc5a3abacc3c49e0ba55a8f232f89ed0_5874_6" hidden="1">#REF!</definedName>
    <definedName name="TRNR_fc62f421c8164fe0a64a895c6a0e8309_61_2" hidden="1">#REF!</definedName>
    <definedName name="TRNR_fc75d268a3524fc0be6c0134dd586abb_2113_6" hidden="1">#REF!</definedName>
    <definedName name="TRNR_fcb5d28df00a42b39445a00552356bbc_25_6" hidden="1">#REF!</definedName>
    <definedName name="TRNR_fcb942dfeb1d409f9edd8d457f27cb9b_61_2" hidden="1">#REF!</definedName>
    <definedName name="TRNR_fcca7f9ed7ae4942a926186d39080cb2_525_1" hidden="1">#REF!</definedName>
    <definedName name="TRNR_fcd447cb3e1c440e9abb70cfd836b471_2027_6" hidden="1">#REF!</definedName>
    <definedName name="TRNR_fcdf03b808e94707b7c70fe7369d978e_2901_2" hidden="1">#REF!</definedName>
    <definedName name="TRNR_fce7de6ad8774dd891c649fd968236e5_61_2" hidden="1">#REF!</definedName>
    <definedName name="TRNR_fcff35bd7c8647c38564600bb1a73f46_61_2" hidden="1">#REF!</definedName>
    <definedName name="TRNR_fd114527cda14a26bf6aef3ddf089816_61_2" hidden="1">#REF!</definedName>
    <definedName name="TRNR_fd1370a15e8c4251a1a9ae8eb1862a86_61_2" hidden="1">#REF!</definedName>
    <definedName name="TRNR_fd19bea854a34e89a601249d97872133_19_9" hidden="1">#REF!</definedName>
    <definedName name="TRNR_fd1f0821a5fb40ac9416bdf8d86f45b3_5834_4" hidden="1">#REF!</definedName>
    <definedName name="TRNR_fd22835fbbdc492e8f90e44648253b96_61_2" hidden="1">#REF!</definedName>
    <definedName name="TRNR_fd311ab80e164201ade75312e233e41e_61_2" hidden="1">#REF!</definedName>
    <definedName name="TRNR_fd32eb22460b4c729aaa004cf9cfa59d_99_6" hidden="1">#REF!</definedName>
    <definedName name="TRNR_fd3c7de6786a4d558c67aae77a3ee9c7_61_2" hidden="1">#REF!</definedName>
    <definedName name="TRNR_fd4b161b0b364ce4882cf610c122fb4d_61_2" hidden="1">#REF!</definedName>
    <definedName name="TRNR_fd4d3ec32c6943dc8947885fb6e78fb9_61_2" hidden="1">#REF!</definedName>
    <definedName name="TRNR_fd4f2cbe26ba4c87a0f7bc4f7f70dee9_6080_2" hidden="1">#REF!</definedName>
    <definedName name="TRNR_fd58fe0fda2c45559c48f2522a1d379e_61_2" hidden="1">#REF!</definedName>
    <definedName name="TRNR_fd5a7d64a9ff4304bbdc30df207d6170_528_6" hidden="1">#REF!</definedName>
    <definedName name="TRNR_fd66892dc04c4e298776af5f253f6642_6200_6" hidden="1">#REF!</definedName>
    <definedName name="TRNR_fd6c0ba522f74ba9879016fd5b239e2a_90_9" hidden="1">#REF!</definedName>
    <definedName name="TRNR_fd6f1e6f89d74faeace5e11f514f0e11_61_2" hidden="1">#REF!</definedName>
    <definedName name="TRNR_fd72676293664272b4aa25f4763b7a1c_5875_4" hidden="1">#REF!</definedName>
    <definedName name="TRNR_fd8a44cc6693497fa3c6efc6694a360b_528_7" hidden="1">#REF!</definedName>
    <definedName name="TRNR_fdb0e1fb6ca347ad8469e3e4979a5158_61_2" hidden="1">#REF!</definedName>
    <definedName name="TRNR_fdbc9e2a1c7b46ce92af49d0eb98ee59_61_2" hidden="1">#REF!</definedName>
    <definedName name="TRNR_fdc3b73ad90443b896d8d10a42e63979_61_2" hidden="1">'[1]Gráfico 66'!#REF!</definedName>
    <definedName name="TRNR_fdc664508ac74e69a9911f6c44f16ee7_61_2" hidden="1">#REF!</definedName>
    <definedName name="TRNR_fdcd35e4dbc341b1b4fdaf4ce6b12f4a_61_2" hidden="1">#REF!</definedName>
    <definedName name="TRNR_fdce36ef6d814e669b677dd35b1a9b85_61_2" hidden="1">#REF!</definedName>
    <definedName name="TRNR_fdcf4b461b7f47a8a46f0996b5d74e44_61_2" hidden="1">#REF!</definedName>
    <definedName name="TRNR_fdcfc9dae4694e018a3712c76ebb6aaa_5813_12" hidden="1">#REF!</definedName>
    <definedName name="TRNR_fdd650e2b6d542b19e7ecb8b975ab3db_61_2" hidden="1">#REF!</definedName>
    <definedName name="TRNR_fdd6ed920ea248d490658a7847d14ef6_184_2" hidden="1">#REF!</definedName>
    <definedName name="TRNR_fdd7d34e2ead4c9d890a2d84ff7dca48_5805_12" hidden="1">#REF!</definedName>
    <definedName name="TRNR_fde14eeee1bd4456b43abde5bbedf813_61_2" hidden="1">#REF!</definedName>
    <definedName name="TRNR_fde61e5a205242d283b8de1ec58b0260_61_2" hidden="1">#REF!</definedName>
    <definedName name="TRNR_fdfdf5bf24b04f9197cfe5170bd8d2b0_61_2" hidden="1">#REF!</definedName>
    <definedName name="TRNR_fe09d52df2764b1cb5c7ae6f74243014_523_5" hidden="1">#REF!</definedName>
    <definedName name="TRNR_fe1d1a47d1074066b7bfa38b47089899_61_2" hidden="1">#REF!</definedName>
    <definedName name="TRNR_fe24066d3f714b1a9383cacb1d1fb9b6_61_2" hidden="1">#REF!</definedName>
    <definedName name="TRNR_fe438408f0734a20b90f333227a13fb0_61_2" hidden="1">'[1]Gráfico 66'!#REF!</definedName>
    <definedName name="TRNR_fe47f76225334f56a54be74bcdc89b1d_61_2" hidden="1">#REF!</definedName>
    <definedName name="TRNR_fe755e0d4899417f9d75c54932cd0b79_121_10" hidden="1">#REF!</definedName>
    <definedName name="TRNR_fe7964cdb7c74f489a29b2b424932da4_61_2" hidden="1">#REF!</definedName>
    <definedName name="TRNR_fe7c83bed4af4bad97018510b2e9a334_61_2" hidden="1">#REF!</definedName>
    <definedName name="TRNR_fe89918b14954402badb988f7cae372c_47_6" hidden="1">#REF!</definedName>
    <definedName name="TRNR_fe8e6e1ba6754821b0f798cdc325821d_276_6" hidden="1">#REF!</definedName>
    <definedName name="TRNR_fe98e824ab4c485fa591d38f6c3e9a95_5990_6" hidden="1">#REF!</definedName>
    <definedName name="TRNR_feb59d10f92341ba8cafad4619636b12_6179_6" hidden="1">#REF!</definedName>
    <definedName name="TRNR_fecd1296c0144f1b8beefd9612e29478_61_2" hidden="1">#REF!</definedName>
    <definedName name="TRNR_feea60341d1744abaa98bb5b2ba201f2_52_37" hidden="1">#REF!</definedName>
    <definedName name="TRNR_feed03e6093c42febe5fad976efce77e_61_2" hidden="1">#REF!</definedName>
    <definedName name="TRNR_fef16951f6af435ab3fea274005c8a83_61_2" hidden="1">#REF!</definedName>
    <definedName name="TRNR_fefeeffc1d9a4f319c126c5360363c67_6_4" hidden="1">#REF!</definedName>
    <definedName name="TRNR_ff3cab4eb81a4ea3bca78b61db4e07b8_61_2" hidden="1">#REF!</definedName>
    <definedName name="TRNR_ff4122c0fd7a4f9aa57641b932adddbf_1086_27" hidden="1">#REF!</definedName>
    <definedName name="TRNR_ff43a4ac606e46e4bb0104e626d6b6f8_61_2" hidden="1">#REF!</definedName>
    <definedName name="TRNR_ff4452af6eed4b84b357ec2759504c03_40_6" hidden="1">#REF!</definedName>
    <definedName name="TRNR_ff4a08eef5b64bcebb5805eb315cf0a5_61_2" hidden="1">#REF!</definedName>
    <definedName name="TRNR_ff51b253d30743c888c1f38eb3d6c18a_525_10" hidden="1">#REF!</definedName>
    <definedName name="TRNR_ff532aa4441345d1ad095ca11f397cb5_61_2" hidden="1">#REF!</definedName>
    <definedName name="TRNR_ff8921f25235443597483dff543183fe_61_2" hidden="1">#REF!</definedName>
    <definedName name="TRNR_ff91d617723e4dff83138f779bd85945_61_2" hidden="1">#REF!</definedName>
    <definedName name="TRNR_ff9275769cc04cb29e6c99a0e83fbe9b_61_2" hidden="1">'[1]Gráfico 66'!#REF!</definedName>
    <definedName name="TRNR_ff999fce95694fc18e0c2bdb71754a7a_977_19" hidden="1">#REF!</definedName>
    <definedName name="TRNR_ff9a8e2bf35a480ca7de2a7dd258af37_5326_9" hidden="1">#REF!</definedName>
    <definedName name="TRNR_ff9cfab0e2cc4e5fb533920db0e835ea_5820_6" hidden="1">#REF!</definedName>
    <definedName name="TRNR_ffb22a4f436f4bf49547d0c4c0ddc8e9_99_21" hidden="1">#REF!</definedName>
    <definedName name="TRNR_ffd0c3336ef24f0788a2dd63e016eecf_53_3" hidden="1">#REF!</definedName>
    <definedName name="TRNR_ffd9b1f756344affacb7d92439ef81ba_6151_6" hidden="1">#REF!</definedName>
    <definedName name="tt" localSheetId="6">{"Tab1",#N/A,FALSE,"P";"Tab2",#N/A,FALSE,"P"}</definedName>
    <definedName name="tt" localSheetId="11">{"Tab1",#N/A,FALSE,"P";"Tab2",#N/A,FALSE,"P"}</definedName>
    <definedName name="tt">{"Tab1",#N/A,FALSE,"P";"Tab2",#N/A,FALSE,"P"}</definedName>
    <definedName name="ttt" localSheetId="6">{"Tab1",#N/A,FALSE,"P";"Tab2",#N/A,FALSE,"P"}</definedName>
    <definedName name="ttt" localSheetId="11">{"Tab1",#N/A,FALSE,"P";"Tab2",#N/A,FALSE,"P"}</definedName>
    <definedName name="ttt">{"Tab1",#N/A,FALSE,"P";"Tab2",#N/A,FALSE,"P"}</definedName>
    <definedName name="tttt" localSheetId="6">{"Tab1",#N/A,FALSE,"P";"Tab2",#N/A,FALSE,"P"}</definedName>
    <definedName name="tttt" localSheetId="11">{"Tab1",#N/A,FALSE,"P";"Tab2",#N/A,FALSE,"P"}</definedName>
    <definedName name="tttt">{"Tab1",#N/A,FALSE,"P";"Tab2",#N/A,FALSE,"P"}</definedName>
    <definedName name="ttttt">#REF!</definedName>
    <definedName name="ttttttttt" localSheetId="6">{"Minpmon",#N/A,FALSE,"Monthinput"}</definedName>
    <definedName name="ttttttttt" localSheetId="11">{"Minpmon",#N/A,FALSE,"Monthinput"}</definedName>
    <definedName name="ttttttttt">{"Minpmon",#N/A,FALSE,"Monthinput"}</definedName>
    <definedName name="ttyy" localSheetId="6">{"Riqfin97",#N/A,FALSE,"Tran";"Riqfinpro",#N/A,FALSE,"Tran"}</definedName>
    <definedName name="ttyy" localSheetId="11">{"Riqfin97",#N/A,FALSE,"Tran";"Riqfinpro",#N/A,FALSE,"Tran"}</definedName>
    <definedName name="ttyy">{"Riqfin97",#N/A,FALSE,"Tran";"Riqfinpro",#N/A,FALSE,"Tran"}</definedName>
    <definedName name="twryrwe">#REF!</definedName>
    <definedName name="tyi">#REF!</definedName>
    <definedName name="tyui" localSheetId="6">{"Riqfin97",#N/A,FALSE,"Tran";"Riqfinpro",#N/A,FALSE,"Tran"}</definedName>
    <definedName name="tyui" localSheetId="11">{"Riqfin97",#N/A,FALSE,"Tran";"Riqfinpro",#N/A,FALSE,"Tran"}</definedName>
    <definedName name="tyui">{"Riqfin97",#N/A,FALSE,"Tran";"Riqfinpro",#N/A,FALSE,"Tran"}</definedName>
    <definedName name="uiio">#REF!</definedName>
    <definedName name="ultima">#REF!</definedName>
    <definedName name="UniqueRange_37">#REF!</definedName>
    <definedName name="UniqueRange_38">#REF!</definedName>
    <definedName name="UniqueRange_39">#REF!</definedName>
    <definedName name="UniqueRange_40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47">#REF!</definedName>
    <definedName name="UNO">#REF!</definedName>
    <definedName name="Update_only_bolded_variables__historical_from_MECON_in_green__and_projections_in_read">"xxWRS_3"</definedName>
    <definedName name="uu" localSheetId="6">{"Riqfin97",#N/A,FALSE,"Tran";"Riqfinpro",#N/A,FALSE,"Tran"}</definedName>
    <definedName name="uu" localSheetId="11">{"Riqfin97",#N/A,FALSE,"Tran";"Riqfinpro",#N/A,FALSE,"Tran"}</definedName>
    <definedName name="uu">{"Riqfin97",#N/A,FALSE,"Tran";"Riqfinpro",#N/A,FALSE,"Tran"}</definedName>
    <definedName name="uuu" localSheetId="6">{"Riqfin97",#N/A,FALSE,"Tran";"Riqfinpro",#N/A,FALSE,"Tran"}</definedName>
    <definedName name="uuu" localSheetId="11">{"Riqfin97",#N/A,FALSE,"Tran";"Riqfinpro",#N/A,FALSE,"Tran"}</definedName>
    <definedName name="uuu">{"Riqfin97",#N/A,FALSE,"Tran";"Riqfinpro",#N/A,FALSE,"Tran"}</definedName>
    <definedName name="uuuuuu" localSheetId="6">{"Riqfin97",#N/A,FALSE,"Tran";"Riqfinpro",#N/A,FALSE,"Tran"}</definedName>
    <definedName name="uuuuuu" localSheetId="11">{"Riqfin97",#N/A,FALSE,"Tran";"Riqfinpro",#N/A,FALSE,"Tran"}</definedName>
    <definedName name="uuuuuu">{"Riqfin97",#N/A,FALSE,"Tran";"Riqfinpro",#N/A,FALSE,"Tran"}</definedName>
    <definedName name="v">#REF!</definedName>
    <definedName name="vale">#REF!</definedName>
    <definedName name="vv" localSheetId="6">{"Tab1",#N/A,FALSE,"P";"Tab2",#N/A,FALSE,"P"}</definedName>
    <definedName name="vv" localSheetId="11">{"Tab1",#N/A,FALSE,"P";"Tab2",#N/A,FALSE,"P"}</definedName>
    <definedName name="vv">{"Tab1",#N/A,FALSE,"P";"Tab2",#N/A,FALSE,"P"}</definedName>
    <definedName name="vvv" localSheetId="6">{"Tab1",#N/A,FALSE,"P";"Tab2",#N/A,FALSE,"P"}</definedName>
    <definedName name="vvv" localSheetId="11">{"Tab1",#N/A,FALSE,"P";"Tab2",#N/A,FALSE,"P"}</definedName>
    <definedName name="vvv">{"Tab1",#N/A,FALSE,"P";"Tab2",#N/A,FALSE,"P"}</definedName>
    <definedName name="vvvv" localSheetId="6">{"Minpmon",#N/A,FALSE,"Monthinput"}</definedName>
    <definedName name="vvvv" localSheetId="11">{"Minpmon",#N/A,FALSE,"Monthinput"}</definedName>
    <definedName name="vvvv">{"Minpmon",#N/A,FALSE,"Monthinput"}</definedName>
    <definedName name="w" localSheetId="6">{"PRI",#N/A,FALSE,"Data";"QUA",#N/A,FALSE,"Data";"STR",#N/A,FALSE,"Data";"VAL",#N/A,FALSE,"Data";"WEO",#N/A,FALSE,"Data";"WGT",#N/A,FALSE,"Data"}</definedName>
    <definedName name="w" localSheetId="11">{"PRI",#N/A,FALSE,"Data";"QUA",#N/A,FALSE,"Data";"STR",#N/A,FALSE,"Data";"VAL",#N/A,FALSE,"Data";"WEO",#N/A,FALSE,"Data";"WGT",#N/A,FALSE,"Data"}</definedName>
    <definedName name="w">{"PRI",#N/A,FALSE,"Data";"QUA",#N/A,FALSE,"Data";"STR",#N/A,FALSE,"Data";"VAL",#N/A,FALSE,"Data";"WEO",#N/A,FALSE,"Data";"WGT",#N/A,FALSE,"Data"}</definedName>
    <definedName name="wacc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er" localSheetId="6">{"Riqfin97",#N/A,FALSE,"Tran";"Riqfinpro",#N/A,FALSE,"Tran"}</definedName>
    <definedName name="wer" localSheetId="11">{"Riqfin97",#N/A,FALSE,"Tran";"Riqfinpro",#N/A,FALSE,"Tran"}</definedName>
    <definedName name="wer">{"Riqfin97",#N/A,FALSE,"Tran";"Riqfinpro",#N/A,FALSE,"Tran"}</definedName>
    <definedName name="werwer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hat" localSheetId="6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hat">{"ca",#N/A,FALSE,"Detailed BOP";"ka",#N/A,FALSE,"Detailed BOP";"btl",#N/A,FALSE,"Detailed BOP";#N/A,#N/A,FALSE,"Debt  Stock TBL";"imfprint",#N/A,FALSE,"IMF";"imfdebtservice",#N/A,FALSE,"IMF";"tradeprint",#N/A,FALSE,"Trade"}</definedName>
    <definedName name="wht?" localSheetId="6" hidden="1">{"'Basic'!$A$1:$F$96"}</definedName>
    <definedName name="wht?" localSheetId="11" hidden="1">{"'Basic'!$A$1:$F$96"}</definedName>
    <definedName name="wht?" hidden="1">{"'Basic'!$A$1:$F$96"}</definedName>
    <definedName name="wrn.97REDBOP." localSheetId="6">{"TRADE_COMP",#N/A,FALSE,"TAB23APP";"BOP",#N/A,FALSE,"TAB6";"DOT",#N/A,FALSE,"TAB24APP";"EXTDEBT",#N/A,FALSE,"TAB25APP"}</definedName>
    <definedName name="wrn.97REDBOP." localSheetId="11">{"TRADE_COMP",#N/A,FALSE,"TAB23APP";"BOP",#N/A,FALSE,"TAB6";"DOT",#N/A,FALSE,"TAB24APP";"EXTDEBT",#N/A,FALSE,"TAB25APP"}</definedName>
    <definedName name="wrn.97REDBOP.">{"TRADE_COMP",#N/A,FALSE,"TAB23APP";"BOP",#N/A,FALSE,"TAB6";"DOT",#N/A,FALSE,"TAB24APP";"EXTDEBT",#N/A,FALSE,"TAB25APP"}</definedName>
    <definedName name="wrn.98RED." localSheetId="6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E201." localSheetId="6" hidden="1">{#N/A,#N/A,FALSE,"Prod Nac GN";#N/A,#N/A,FALSE,"Prod Nac GN";#N/A,#N/A,FALSE,"Base Dados mil m3";#N/A,#N/A,FALSE,"Prod Ter Est 3D";#N/A,#N/A,FALSE,"Prod Ter 3D";#N/A,#N/A,FALSE,"Prod Mar 3D"}</definedName>
    <definedName name="wrn.AE201." localSheetId="11" hidden="1">{#N/A,#N/A,FALSE,"Prod Nac GN";#N/A,#N/A,FALSE,"Prod Nac GN";#N/A,#N/A,FALSE,"Base Dados mil m3";#N/A,#N/A,FALSE,"Prod Ter Est 3D";#N/A,#N/A,FALSE,"Prod Ter 3D";#N/A,#N/A,FALSE,"Prod Mar 3D"}</definedName>
    <definedName name="wrn.AE201." hidden="1">{#N/A,#N/A,FALSE,"Prod Nac GN";#N/A,#N/A,FALSE,"Prod Nac GN";#N/A,#N/A,FALSE,"Base Dados mil m3";#N/A,#N/A,FALSE,"Prod Ter Est 3D";#N/A,#N/A,FALSE,"Prod Ter 3D";#N/A,#N/A,FALSE,"Prod Mar 3D"}</definedName>
    <definedName name="wrn.ajusteurs." localSheetId="6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1">{#N/A,#N/A,FALSE,"ajusteurs";#N/A,#N/A,FALSE,"Tab13";#N/A,#N/A,FALSE,"Tab12";#N/A,#N/A,FALSE,"Tab11";#N/A,#N/A,FALSE,"Tab8";#N/A,#N/A,FALSE,"Tab7";#N/A,#N/A,FALSE,"Tab5";#N/A,#N/A,FALSE,"Tab4";#N/A,#N/A,FALSE,"Tab3"}</definedName>
    <definedName name="wrn.ajusteurs.">{#N/A,#N/A,FALSE,"ajusteurs";#N/A,#N/A,FALSE,"Tab13";#N/A,#N/A,FALSE,"Tab12";#N/A,#N/A,FALSE,"Tab11";#N/A,#N/A,FALSE,"Tab8";#N/A,#N/A,FALSE,"Tab7";#N/A,#N/A,FALSE,"Tab5";#N/A,#N/A,FALSE,"Tab4";#N/A,#N/A,FALSE,"Tab3"}</definedName>
    <definedName name="wrn.annual." localSheetId="6">{"annual-cbr",#N/A,FALSE,"CENTBANK";"annual(banks)",#N/A,FALSE,"COMBANKS"}</definedName>
    <definedName name="wrn.annual." localSheetId="11">{"annual-cbr",#N/A,FALSE,"CENTBANK";"annual(banks)",#N/A,FALSE,"COMBANKS"}</definedName>
    <definedName name="wrn.annual.">{"annual-cbr",#N/A,FALSE,"CENTBANK";"annual(banks)",#N/A,FALSE,"COMBANKS"}</definedName>
    <definedName name="wrn.ANNUAL_TABLES_01." localSheetId="6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>{"SCEN_A01",#N/A,FALSE,"Prog_BSyst";"SCEN_A01",#N/A,FALSE,"Prog_BCM";"SCEN_A01",#N/A,FALSE,"Prog_ComB";"SCEN_A01",#N/A,FALSE,"Prog_Gov";"SCEN_A01",#N/A,FALSE,"B_mrks99";"SCEN_A01",#N/A,FALSE,"IN";"SCEN_A01",#N/A,FALSE,"OUT"}</definedName>
    <definedName name="wrn.ARMRED97.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se._.Case." localSheetId="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MA." localSheetId="6">{"3",#N/A,FALSE,"BASE MONETARIA";"4",#N/A,FALSE,"BASE MONETARIA"}</definedName>
    <definedName name="wrn.BMA." localSheetId="11">{"3",#N/A,FALSE,"BASE MONETARIA";"4",#N/A,FALSE,"BASE MONETARIA"}</definedName>
    <definedName name="wrn.BMA.">{"3",#N/A,FALSE,"BASE MONETARIA";"4",#N/A,FALSE,"BASE MONETARIA"}</definedName>
    <definedName name="wrn.BOP_MIDTERM." localSheetId="6">{"BOP_TAB",#N/A,FALSE,"N";"MIDTERM_TAB",#N/A,FALSE,"O"}</definedName>
    <definedName name="wrn.BOP_MIDTERM." localSheetId="11">{"BOP_TAB",#N/A,FALSE,"N";"MIDTERM_TAB",#N/A,FALSE,"O"}</definedName>
    <definedName name="wrn.BOP_MIDTERM.">{"BOP_TAB",#N/A,FALSE,"N";"MIDTERM_TAB",#N/A,FALSE,"O"}</definedName>
    <definedName name="wrn.Briefing._.98." localSheetId="6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oal._.Questionnaire." localSheetId="6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Diferencias." localSheetId="6" hidden="1">{"Dif tabajo",#N/A,FALSE,"C. mobiliario";"Difi mobiliario",#N/A,FALSE,"C. mobiliario"}</definedName>
    <definedName name="wrn.Diferencias." localSheetId="11" hidden="1">{"Dif tabajo",#N/A,FALSE,"C. mobiliario";"Difi mobiliario",#N/A,FALSE,"C. mobiliario"}</definedName>
    <definedName name="wrn.Diferencias." hidden="1">{"Dif tabajo",#N/A,FALSE,"C. mobiliario";"Difi mobiliario",#N/A,FALSE,"C. mobiliario"}</definedName>
    <definedName name="wrn.Diferencias1" localSheetId="6" hidden="1">{"Dif tabajo",#N/A,FALSE,"C. mobiliario";"Difi mobiliario",#N/A,FALSE,"C. mobiliario"}</definedName>
    <definedName name="wrn.Diferencias1" localSheetId="11" hidden="1">{"Dif tabajo",#N/A,FALSE,"C. mobiliario";"Difi mobiliario",#N/A,FALSE,"C. mobiliario"}</definedName>
    <definedName name="wrn.Diferencias1" hidden="1">{"Dif tabajo",#N/A,FALSE,"C. mobiliario";"Difi mobiliario",#N/A,FALSE,"C. mobiliario"}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nglishset." localSheetId="6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FISCRED97.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orecast." localSheetId="6" hidden="1">{#N/A,#N/A,FALSE,"model"}</definedName>
    <definedName name="wrn.forecast." localSheetId="11" hidden="1">{#N/A,#N/A,FALSE,"model"}</definedName>
    <definedName name="wrn.forecast." hidden="1">{#N/A,#N/A,FALSE,"model"}</definedName>
    <definedName name="wrn.forecast2" localSheetId="6" hidden="1">{#N/A,#N/A,FALSE,"model"}</definedName>
    <definedName name="wrn.forecast2" localSheetId="11" hidden="1">{#N/A,#N/A,FALSE,"model"}</definedName>
    <definedName name="wrn.forecast2" hidden="1">{#N/A,#N/A,FALSE,"model"}</definedName>
    <definedName name="wrn.forecastassumptions." localSheetId="6" hidden="1">{#N/A,#N/A,FALSE,"model"}</definedName>
    <definedName name="wrn.forecastassumptions." localSheetId="11" hidden="1">{#N/A,#N/A,FALSE,"model"}</definedName>
    <definedName name="wrn.forecastassumptions." hidden="1">{#N/A,#N/A,FALSE,"model"}</definedName>
    <definedName name="wrn.forecastassumptions2" localSheetId="6" hidden="1">{#N/A,#N/A,FALSE,"model"}</definedName>
    <definedName name="wrn.forecastassumptions2" localSheetId="11" hidden="1">{#N/A,#N/A,FALSE,"model"}</definedName>
    <definedName name="wrn.forecastassumptions2" hidden="1">{#N/A,#N/A,FALSE,"model"}</definedName>
    <definedName name="wrn.forecastROIC." localSheetId="6" hidden="1">{#N/A,#N/A,FALSE,"model"}</definedName>
    <definedName name="wrn.forecastROIC." localSheetId="11" hidden="1">{#N/A,#N/A,FALSE,"model"}</definedName>
    <definedName name="wrn.forecastROIC." hidden="1">{#N/A,#N/A,FALSE,"model"}</definedName>
    <definedName name="wrn.forecastROIC2" localSheetId="6" hidden="1">{#N/A,#N/A,FALSE,"model"}</definedName>
    <definedName name="wrn.forecastROIC2" localSheetId="11" hidden="1">{#N/A,#N/A,FALSE,"model"}</definedName>
    <definedName name="wrn.forecastROIC2" hidden="1">{#N/A,#N/A,FALSE,"model"}</definedName>
    <definedName name="wrn.gastos." localSheetId="6" hidden="1">{#N/A,#N/A,FALSE,"PERSONAL";#N/A,#N/A,FALSE,"explotación";#N/A,#N/A,FALSE,"generales"}</definedName>
    <definedName name="wrn.gastos." localSheetId="11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Graf95_96.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history." localSheetId="6" hidden="1">{#N/A,#N/A,FALSE,"model"}</definedName>
    <definedName name="wrn.history." localSheetId="11" hidden="1">{#N/A,#N/A,FALSE,"model"}</definedName>
    <definedName name="wrn.history." hidden="1">{#N/A,#N/A,FALSE,"model"}</definedName>
    <definedName name="wrn.history2" localSheetId="6" hidden="1">{#N/A,#N/A,FALSE,"model"}</definedName>
    <definedName name="wrn.history2" localSheetId="11" hidden="1">{#N/A,#N/A,FALSE,"model"}</definedName>
    <definedName name="wrn.history2" hidden="1">{#N/A,#N/A,FALSE,"model"}</definedName>
    <definedName name="wrn.histROIC." localSheetId="6" hidden="1">{#N/A,#N/A,FALSE,"model"}</definedName>
    <definedName name="wrn.histROIC." localSheetId="11" hidden="1">{#N/A,#N/A,FALSE,"model"}</definedName>
    <definedName name="wrn.histROIC." hidden="1">{#N/A,#N/A,FALSE,"model"}</definedName>
    <definedName name="wrn.histROIC2" localSheetId="6" hidden="1">{#N/A,#N/A,FALSE,"model"}</definedName>
    <definedName name="wrn.histROIC2" localSheetId="11" hidden="1">{#N/A,#N/A,FALSE,"model"}</definedName>
    <definedName name="wrn.histROIC2" hidden="1">{#N/A,#N/A,FALSE,"model"}</definedName>
    <definedName name="wrn.IMF._.RR._.Office." localSheetId="6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>{"ca",#N/A,FALSE,"Detailed BOP";"ka",#N/A,FALSE,"Detailed BOP";"btl",#N/A,FALSE,"Detailed BOP";#N/A,#N/A,FALSE,"Debt  Stock TBL";"imfprint",#N/A,FALSE,"IMF";"imfdebtservice",#N/A,FALSE,"IMF";"tradeprint",#N/A,FALSE,"Trade"}</definedName>
    <definedName name="wrn.infpre." localSheetId="6" hidden="1">{#N/A,#N/A,TRUE,"prev"}</definedName>
    <definedName name="wrn.infpre." localSheetId="11" hidden="1">{#N/A,#N/A,TRUE,"prev"}</definedName>
    <definedName name="wrn.infpre." hidden="1">{#N/A,#N/A,TRUE,"prev"}</definedName>
    <definedName name="wrn.ingresos.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_.tables." localSheetId="6">{#N/A,#N/A,FALSE,"SimInp1";#N/A,#N/A,FALSE,"SimInp2";#N/A,#N/A,FALSE,"SimOut1";#N/A,#N/A,FALSE,"SimOut2";#N/A,#N/A,FALSE,"SimOut3";#N/A,#N/A,FALSE,"SimOut4";#N/A,#N/A,FALSE,"SimOut5"}</definedName>
    <definedName name="wrn.Input._.and._.output._.tables." localSheetId="11">{#N/A,#N/A,FALSE,"SimInp1";#N/A,#N/A,FALSE,"SimInp2";#N/A,#N/A,FALSE,"SimOut1";#N/A,#N/A,FALSE,"SimOut2";#N/A,#N/A,FALSE,"SimOut3";#N/A,#N/A,FALSE,"SimOut4";#N/A,#N/A,FALSE,"SimOut5"}</definedName>
    <definedName name="wrn.Input._.and._.output._.tables.">{#N/A,#N/A,FALSE,"SimInp1";#N/A,#N/A,FALSE,"SimInp2";#N/A,#N/A,FALSE,"SimOut1";#N/A,#N/A,FALSE,"SimOut2";#N/A,#N/A,FALSE,"SimOut3";#N/A,#N/A,FALSE,"SimOut4";#N/A,#N/A,FALSE,"SimOut5"}</definedName>
    <definedName name="wrn.JANSEP97." localSheetId="6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>{"Main Economic Indicators",#N/A,FALSE,"C"}</definedName>
    <definedName name="wrn.Main._.Economic._.Indicators." localSheetId="11">{"Main Economic Indicators",#N/A,FALSE,"C"}</definedName>
    <definedName name="wrn.Main._.Economic._.Indicators.">{"Main Economic Indicators",#N/A,FALSE,"C"}</definedName>
    <definedName name="wrn.MDABOP." localSheetId="6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1">{"BOP_TAB",#N/A,FALSE,"N";"MIDTERM_TAB",#N/A,FALSE,"O";"FUND_CRED",#N/A,FALSE,"P";"DEBT_TAB1",#N/A,FALSE,"Q";"DEBT_TAB2",#N/A,FALSE,"Q";"FORFIN_TAB1",#N/A,FALSE,"R";"FORFIN_TAB2",#N/A,FALSE,"R";"BOP_ANALY",#N/A,FALSE,"U"}</definedName>
    <definedName name="wrn.MDABOP.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6">{"MONA",#N/A,FALSE,"S"}</definedName>
    <definedName name="wrn.MONA." localSheetId="11">{"MONA",#N/A,FALSE,"S"}</definedName>
    <definedName name="wrn.MONA.">{"MONA",#N/A,FALSE,"S"}</definedName>
    <definedName name="wrn.Monthsheet." localSheetId="6">{"Minpmon",#N/A,FALSE,"Monthinput"}</definedName>
    <definedName name="wrn.Monthsheet." localSheetId="11">{"Minpmon",#N/A,FALSE,"Monthinput"}</definedName>
    <definedName name="wrn.Monthsheet.">{"Minpmon",#N/A,FALSE,"Monthinput"}</definedName>
    <definedName name="wrn.original." localSheetId="6">{"Original",#N/A,FALSE,"CENTBANK";"Original",#N/A,FALSE,"COMBANKS"}</definedName>
    <definedName name="wrn.original." localSheetId="11">{"Original",#N/A,FALSE,"CENTBANK";"Original",#N/A,FALSE,"COMBANKS"}</definedName>
    <definedName name="wrn.original.">{"Original",#N/A,FALSE,"CENTBANK";"Original",#N/A,FALSE,"COMBANKS"}</definedName>
    <definedName name="wrn.Output._.tables." localSheetId="6">{#N/A,#N/A,FALSE,"I";#N/A,#N/A,FALSE,"J";#N/A,#N/A,FALSE,"K";#N/A,#N/A,FALSE,"L";#N/A,#N/A,FALSE,"M";#N/A,#N/A,FALSE,"N";#N/A,#N/A,FALSE,"O"}</definedName>
    <definedName name="wrn.Output._.tables." localSheetId="11">{#N/A,#N/A,FALSE,"I";#N/A,#N/A,FALSE,"J";#N/A,#N/A,FALSE,"K";#N/A,#N/A,FALSE,"L";#N/A,#N/A,FALSE,"M";#N/A,#N/A,FALSE,"N";#N/A,#N/A,FALSE,"O"}</definedName>
    <definedName name="wrn.Output._.tables.">{#N/A,#N/A,FALSE,"I";#N/A,#N/A,FALSE,"J";#N/A,#N/A,FALSE,"K";#N/A,#N/A,FALSE,"L";#N/A,#N/A,FALSE,"M";#N/A,#N/A,FALSE,"N";#N/A,#N/A,FALSE,"O"}</definedName>
    <definedName name="wrn.OUTTURN_TABLES_00." localSheetId="6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99." localSheetId="6">{"REAL_99",#N/A,FALSE,"Prog_BSyst";"REAL_99",#N/A,FALSE,"Prog_BCM";"REAL_99",#N/A,FALSE,"Prog_ComB";"REAL_99",#N/A,FALSE,"Prog_Gov";"REAL_99",#N/A,FALSE,"B_mrks99"}</definedName>
    <definedName name="wrn.OUTTURN_TABLES_99." localSheetId="11">{"REAL_99",#N/A,FALSE,"Prog_BSyst";"REAL_99",#N/A,FALSE,"Prog_BCM";"REAL_99",#N/A,FALSE,"Prog_ComB";"REAL_99",#N/A,FALSE,"Prog_Gov";"REAL_99",#N/A,FALSE,"B_mrks99"}</definedName>
    <definedName name="wrn.OUTTURN_TABLES_99.">{"REAL_99",#N/A,FALSE,"Prog_BSyst";"REAL_99",#N/A,FALSE,"Prog_BCM";"REAL_99",#N/A,FALSE,"Prog_ComB";"REAL_99",#N/A,FALSE,"Prog_Gov";"REAL_99",#N/A,FALSE,"B_mrks99"}</definedName>
    <definedName name="wrn.PASMON." localSheetId="6">{"1",#N/A,FALSE,"Pasivos Mon";"2",#N/A,FALSE,"Pasivos Mon"}</definedName>
    <definedName name="wrn.PASMON." localSheetId="11">{"1",#N/A,FALSE,"Pasivos Mon";"2",#N/A,FALSE,"Pasivos Mon"}</definedName>
    <definedName name="wrn.PASMON.">{"1",#N/A,FALSE,"Pasivos Mon";"2",#N/A,FALSE,"Pasivos Mon"}</definedName>
    <definedName name="wrn.Per._.cri." localSheetId="6">{#N/A,#N/A,FALSE,"Per Cri"}</definedName>
    <definedName name="wrn.Per._.cri." localSheetId="11">{#N/A,#N/A,FALSE,"Per Cri"}</definedName>
    <definedName name="wrn.Per._.cri.">{#N/A,#N/A,FALSE,"Per Cri"}</definedName>
    <definedName name="wrn.pl." localSheetId="6" hidden="1">{#N/A,#N/A,FALSE,"Exhibits 5-7"}</definedName>
    <definedName name="wrn.pl." localSheetId="11" hidden="1">{#N/A,#N/A,FALSE,"Exhibits 5-7"}</definedName>
    <definedName name="wrn.pl." hidden="1">{#N/A,#N/A,FALSE,"Exhibits 5-7"}</definedName>
    <definedName name="wrn.Prevision." localSheetId="6" hidden="1">{"Mobiliario",#N/A,FALSE,"C. mobiliario";"Trabajo",#N/A,FALSE,"C. mobiliario"}</definedName>
    <definedName name="wrn.Prevision." localSheetId="11" hidden="1">{"Mobiliario",#N/A,FALSE,"C. mobiliario";"Trabajo",#N/A,FALSE,"C. mobiliario"}</definedName>
    <definedName name="wrn.Prevision." hidden="1">{"Mobiliario",#N/A,FALSE,"C. mobiliario";"Trabajo",#N/A,FALSE,"C. mobiliario"}</definedName>
    <definedName name="wrn.Print._.Detailed._.Tables." localSheetId="6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ogram." localSheetId="6">{"Tab1",#N/A,FALSE,"P";"Tab2",#N/A,FALSE,"P"}</definedName>
    <definedName name="wrn.Program." localSheetId="11">{"Tab1",#N/A,FALSE,"P";"Tab2",#N/A,FALSE,"P"}</definedName>
    <definedName name="wrn.Program.">{"Tab1",#N/A,FALSE,"P";"Tab2",#N/A,FALSE,"P"}</definedName>
    <definedName name="wrn.QUARTERLY_TABLES_00." localSheetId="6">{"SCEN_Q00",#N/A,FALSE,"Prog_BSyst";"SCEN_Q00",#N/A,FALSE,"Prog_BCM";"SCEN_Q00",#N/A,FALSE,"Prog_ComB";"SCEN_Q00",#N/A,FALSE,"Prog_Gov";"SCEN_Q00",#N/A,FALSE,"IN"}</definedName>
    <definedName name="wrn.QUARTERLY_TABLES_00." localSheetId="11">{"SCEN_Q00",#N/A,FALSE,"Prog_BSyst";"SCEN_Q00",#N/A,FALSE,"Prog_BCM";"SCEN_Q00",#N/A,FALSE,"Prog_ComB";"SCEN_Q00",#N/A,FALSE,"Prog_Gov";"SCEN_Q00",#N/A,FALSE,"IN"}</definedName>
    <definedName name="wrn.QUARTERLY_TABLES_00.">{"SCEN_Q00",#N/A,FALSE,"Prog_BSyst";"SCEN_Q00",#N/A,FALSE,"Prog_BCM";"SCEN_Q00",#N/A,FALSE,"Prog_ComB";"SCEN_Q00",#N/A,FALSE,"Prog_Gov";"SCEN_Q00",#N/A,FALSE,"IN"}</definedName>
    <definedName name="wrn.quarters._.98." localSheetId="6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D97MON." localSheetId="6">{"CBA",#N/A,FALSE,"TAB4";"MS",#N/A,FALSE,"TAB5";"BANKLOANS",#N/A,FALSE,"TAB21APP ";"INTEREST",#N/A,FALSE,"TAB22APP"}</definedName>
    <definedName name="wrn.RED97MON." localSheetId="11">{"CBA",#N/A,FALSE,"TAB4";"MS",#N/A,FALSE,"TAB5";"BANKLOANS",#N/A,FALSE,"TAB21APP ";"INTEREST",#N/A,FALSE,"TAB22APP"}</definedName>
    <definedName name="wrn.RED97MON.">{"CBA",#N/A,FALSE,"TAB4";"MS",#N/A,FALSE,"TAB5";"BANKLOANS",#N/A,FALSE,"TAB21APP ";"INTEREST",#N/A,FALSE,"TAB22APP"}</definedName>
    <definedName name="wrn.Relevant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vs." localSheetId="6" hidden="1">{"Base_rev",#N/A,FALSE,"Proj_IS_Base";"Projrev",#N/A,FALSE,"Proj_IS_wOTLC";"Delta",#N/A,FALSE,"Delta Rev_PV"}</definedName>
    <definedName name="wrn.Revs." localSheetId="1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qfin." localSheetId="6">{"Riqfin97",#N/A,FALSE,"Tran";"Riqfinpro",#N/A,FALSE,"Tran"}</definedName>
    <definedName name="wrn.Riqfin." localSheetId="11">{"Riqfin97",#N/A,FALSE,"Tran";"Riqfinpro",#N/A,FALSE,"Tran"}</definedName>
    <definedName name="wrn.Riqfin.">{"Riqfin97",#N/A,FALSE,"Tran";"Riqfinpro",#N/A,FALSE,"Tran"}</definedName>
    <definedName name="wrn.Sel._.Ind." localSheetId="6">{#N/A,#N/A,FALSE,"Sel Ind"}</definedName>
    <definedName name="wrn.Sel._.Ind." localSheetId="11">{#N/A,#N/A,FALSE,"Sel Ind"}</definedName>
    <definedName name="wrn.Sel._.Ind.">{#N/A,#N/A,FALSE,"Sel Ind"}</definedName>
    <definedName name="wrn.SET_OF_TABLES." localSheetId="6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report9899." localSheetId="6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TAFF_REPORT_TABLES." localSheetId="6">{"SR_tbs",#N/A,FALSE,"MGSSEI";"SR_tbs",#N/A,FALSE,"MGSBOX";"SR_tbs",#N/A,FALSE,"MGSOCIND"}</definedName>
    <definedName name="wrn.STAFF_REPORT_TABLES." localSheetId="11">{"SR_tbs",#N/A,FALSE,"MGSSEI";"SR_tbs",#N/A,FALSE,"MGSBOX";"SR_tbs",#N/A,FALSE,"MGSOCIND"}</definedName>
    <definedName name="wrn.STAFF_REPORT_TABLES.">{"SR_tbs",#N/A,FALSE,"MGSSEI";"SR_tbs",#N/A,FALSE,"MGSBOX";"SR_tbs",#N/A,FALSE,"MGSOCIND"}</definedName>
    <definedName name="wrn.staffreport.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um." localSheetId="6" hidden="1">{"Opsys",#N/A,FALSE,"NPV_OPsys";"NT",#N/A,FALSE,"NPV_NT";"DevP",#N/A,FALSE,"NPV_DevPdt";"Office",#N/A,FALSE,"NPV_Office"}</definedName>
    <definedName name="wrn.sum." localSheetId="1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bARA." localSheetId="6">{"Page1",#N/A,FALSE,"ARA M&amp;F&amp;T";"Page2",#N/A,FALSE,"ARA M&amp;F&amp;T";"Page3",#N/A,FALSE,"ARA M&amp;F&amp;T"}</definedName>
    <definedName name="wrn.TabARA." localSheetId="11">{"Page1",#N/A,FALSE,"ARA M&amp;F&amp;T";"Page2",#N/A,FALSE,"ARA M&amp;F&amp;T";"Page3",#N/A,FALSE,"ARA M&amp;F&amp;T"}</definedName>
    <definedName name="wrn.TabARA.">{"Page1",#N/A,FALSE,"ARA M&amp;F&amp;T";"Page2",#N/A,FALSE,"ARA M&amp;F&amp;T";"Page3",#N/A,FALSE,"ARA M&amp;F&amp;T"}</definedName>
    <definedName name="wrn.Tb._.1._.Mc._.Flows." localSheetId="6">{#N/A,#N/A,FALSE,"Tb 1 Mc Flows"}</definedName>
    <definedName name="wrn.Tb._.1._.Mc._.Flows." localSheetId="11">{#N/A,#N/A,FALSE,"Tb 1 Mc Flows"}</definedName>
    <definedName name="wrn.Tb._.1._.Mc._.Flows.">{#N/A,#N/A,FALSE,"Tb 1 Mc Flows"}</definedName>
    <definedName name="wrn.Tb._.2._.NFPS." localSheetId="6">{#N/A,#N/A,FALSE,"Tb 2 NFPS"}</definedName>
    <definedName name="wrn.Tb._.2._.NFPS." localSheetId="11">{#N/A,#N/A,FALSE,"Tb 2 NFPS"}</definedName>
    <definedName name="wrn.Tb._.2._.NFPS.">{#N/A,#N/A,FALSE,"Tb 2 NFPS"}</definedName>
    <definedName name="wrn.Tb._.3._.C._.Gov." localSheetId="6">{#N/A,#N/A,FALSE,"tb 3 C Gov"}</definedName>
    <definedName name="wrn.Tb._.3._.C._.Gov." localSheetId="11">{#N/A,#N/A,FALSE,"tb 3 C Gov"}</definedName>
    <definedName name="wrn.Tb._.3._.C._.Gov.">{#N/A,#N/A,FALSE,"tb 3 C Gov"}</definedName>
    <definedName name="wrn.Tb._.4._.MT._.Fiscal." localSheetId="6">{#N/A,#N/A,FALSE,"Tb 4 MT Fiscal"}</definedName>
    <definedName name="wrn.Tb._.4._.MT._.Fiscal." localSheetId="11">{#N/A,#N/A,FALSE,"Tb 4 MT Fiscal"}</definedName>
    <definedName name="wrn.Tb._.4._.MT._.Fiscal.">{#N/A,#N/A,FALSE,"Tb 4 MT Fiscal"}</definedName>
    <definedName name="wrn.TODO.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rade._.Output._.All." localSheetId="6">{"PRI",#N/A,FALSE,"Data";"QUA",#N/A,FALSE,"Data";"STR",#N/A,FALSE,"Data";"VAL",#N/A,FALSE,"Data";"WEO",#N/A,FALSE,"Data";"WGT",#N/A,FALSE,"Data"}</definedName>
    <definedName name="wrn.Trade._.Output._.All." localSheetId="11">{"PRI",#N/A,FALSE,"Data";"QUA",#N/A,FALSE,"Data";"STR",#N/A,FALSE,"Data";"VAL",#N/A,FALSE,"Data";"WEO",#N/A,FALSE,"Data";"WGT",#N/A,FALSE,"Data"}</definedName>
    <definedName name="wrn.Trade._.Output._.All.">{"PRI",#N/A,FALSE,"Data";"QUA",#N/A,FALSE,"Data";"STR",#N/A,FALSE,"Data";"VAL",#N/A,FALSE,"Data";"WEO",#N/A,FALSE,"Data";"WGT",#N/A,FALSE,"Data"}</definedName>
    <definedName name="wrn.Trade._.Table._.Core." localSheetId="6">{"WEO",#N/A,FALSE,"Data";"PRI",#N/A,FALSE,"Data";"QUA",#N/A,FALSE,"Data"}</definedName>
    <definedName name="wrn.Trade._.Table._.Core." localSheetId="11">{"WEO",#N/A,FALSE,"Data";"PRI",#N/A,FALSE,"Data";"QUA",#N/A,FALSE,"Data"}</definedName>
    <definedName name="wrn.Trade._.Table._.Core.">{"WEO",#N/A,FALSE,"Data";"PRI",#N/A,FALSE,"Data";"QUA",#N/A,FALSE,"Data"}</definedName>
    <definedName name="wrn.Valuation._.Worksheets." localSheetId="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EO." localSheetId="6">{"WEO",#N/A,FALSE,"T"}</definedName>
    <definedName name="wrn.WEO." localSheetId="11">{"WEO",#N/A,FALSE,"T"}</definedName>
    <definedName name="wrn.WEO.">{"WEO",#N/A,FALSE,"T"}</definedName>
    <definedName name="wrn1.history" localSheetId="6" hidden="1">{#N/A,#N/A,FALSE,"model"}</definedName>
    <definedName name="wrn1.history" localSheetId="11" hidden="1">{#N/A,#N/A,FALSE,"model"}</definedName>
    <definedName name="wrn1.history" hidden="1">{#N/A,#N/A,FALSE,"model"}</definedName>
    <definedName name="wrn1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6" hidden="1">{#N/A,#N/A,FALSE,"model"}</definedName>
    <definedName name="wrn3.histroic" localSheetId="11" hidden="1">{#N/A,#N/A,FALSE,"model"}</definedName>
    <definedName name="wrn3.histroic" hidden="1">{#N/A,#N/A,FALSE,"model"}</definedName>
    <definedName name="wvu.a." localSheetId="6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bop." localSheetId="6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sr." localSheetId="6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sdr.sr." localSheetId="6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cotton." localSheetId="6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all." localSheetId="6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exportdetails." localSheetId="6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s." localSheetId="6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gold." localSheetId="6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all." localSheetId="6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Hypotheses." localSheetId="6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imports." localSheetId="6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all." localSheetId="6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PLA1.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rint." localSheetId="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tot." localSheetId="6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w">#REF!</definedName>
    <definedName name="ww.Rel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localSheetId="6">{"Riqfin97",#N/A,FALSE,"Tran";"Riqfinpro",#N/A,FALSE,"Tran"}</definedName>
    <definedName name="www" localSheetId="11">{"Riqfin97",#N/A,FALSE,"Tran";"Riqfinpro",#N/A,FALSE,"Tran"}</definedName>
    <definedName name="www">{"Riqfin97",#N/A,FALSE,"Tran";"Riqfinpro",#N/A,FALSE,"Tran"}</definedName>
    <definedName name="wwwe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jjj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>#REF!</definedName>
    <definedName name="wwwww" localSheetId="6">{"Minpmon",#N/A,FALSE,"Monthinput"}</definedName>
    <definedName name="wwwww" localSheetId="11">{"Minpmon",#N/A,FALSE,"Monthinput"}</definedName>
    <definedName name="wwwww">{"Minpmon",#N/A,FALSE,"Monthinput"}</definedName>
    <definedName name="WWWWWW" localSheetId="6" hidden="1">{"Mobiliario",#N/A,FALSE,"C. mobiliario";"Trabajo",#N/A,FALSE,"C. mobiliario"}</definedName>
    <definedName name="WWWWWW" localSheetId="11" hidden="1">{"Mobiliario",#N/A,FALSE,"C. mobiliario";"Trabajo",#N/A,FALSE,"C. mobiliario"}</definedName>
    <definedName name="WWWWWW" hidden="1">{"Mobiliario",#N/A,FALSE,"C. mobiliario";"Trabajo",#N/A,FALSE,"C. mobiliario"}</definedName>
    <definedName name="wwwwwww" localSheetId="6">{"Riqfin97",#N/A,FALSE,"Tran";"Riqfinpro",#N/A,FALSE,"Tran"}</definedName>
    <definedName name="wwwwwww" localSheetId="11">{"Riqfin97",#N/A,FALSE,"Tran";"Riqfinpro",#N/A,FALSE,"Tran"}</definedName>
    <definedName name="wwwwwww">{"Riqfin97",#N/A,FALSE,"Tran";"Riqfinpro",#N/A,FALSE,"Tran"}</definedName>
    <definedName name="WWWWWWWWWWWWWWWWWWWW" localSheetId="6" hidden="1">{#N/A,#N/A,FALSE,"Exhibits 5-7"}</definedName>
    <definedName name="WWWWWWWWWWWWWWWWWWWW" localSheetId="11" hidden="1">{#N/A,#N/A,FALSE,"Exhibits 5-7"}</definedName>
    <definedName name="WWWWWWWWWWWWWWWWWWWW" hidden="1">{#N/A,#N/A,FALSE,"Exhibits 5-7"}</definedName>
    <definedName name="xx" localSheetId="6">{"Riqfin97",#N/A,FALSE,"Tran";"Riqfinpro",#N/A,FALSE,"Tran"}</definedName>
    <definedName name="xx" localSheetId="11">{"Riqfin97",#N/A,FALSE,"Tran";"Riqfinpro",#N/A,FALSE,"Tran"}</definedName>
    <definedName name="xx">{"Riqfin97",#N/A,FALSE,"Tran";"Riqfinpro",#N/A,FALSE,"Tran"}</definedName>
    <definedName name="xxx" localSheetId="6" hidden="1">{"'Hoja1'!$A$8:$L$38"}</definedName>
    <definedName name="xxx" localSheetId="11" hidden="1">{"'Hoja1'!$A$8:$L$38"}</definedName>
    <definedName name="xxx" hidden="1">{"'Hoja1'!$A$8:$L$38"}</definedName>
    <definedName name="xxxx" localSheetId="6">{"Riqfin97",#N/A,FALSE,"Tran";"Riqfinpro",#N/A,FALSE,"Tran"}</definedName>
    <definedName name="xxxx" localSheetId="11">{"Riqfin97",#N/A,FALSE,"Tran";"Riqfinpro",#N/A,FALSE,"Tran"}</definedName>
    <definedName name="xxxx">{"Riqfin97",#N/A,FALSE,"Tran";"Riqfinpro",#N/A,FALSE,"Tran"}</definedName>
    <definedName name="Y">#REF!</definedName>
    <definedName name="yh" localSheetId="6">{"Riqfin97",#N/A,FALSE,"Tran";"Riqfinpro",#N/A,FALSE,"Tran"}</definedName>
    <definedName name="yh" localSheetId="11">{"Riqfin97",#N/A,FALSE,"Tran";"Riqfinpro",#N/A,FALSE,"Tran"}</definedName>
    <definedName name="yh">{"Riqfin97",#N/A,FALSE,"Tran";"Riqfinpro",#N/A,FALSE,"Tran"}</definedName>
    <definedName name="yiop" localSheetId="6">{"Riqfin97",#N/A,FALSE,"Tran";"Riqfinpro",#N/A,FALSE,"Tran"}</definedName>
    <definedName name="yiop" localSheetId="11">{"Riqfin97",#N/A,FALSE,"Tran";"Riqfinpro",#N/A,FALSE,"Tran"}</definedName>
    <definedName name="yiop">{"Riqfin97",#N/A,FALSE,"Tran";"Riqfinpro",#N/A,FALSE,"Tran"}</definedName>
    <definedName name="yu" localSheetId="6">{"Tab1",#N/A,FALSE,"P";"Tab2",#N/A,FALSE,"P"}</definedName>
    <definedName name="yu" localSheetId="11">{"Tab1",#N/A,FALSE,"P";"Tab2",#N/A,FALSE,"P"}</definedName>
    <definedName name="yu">{"Tab1",#N/A,FALSE,"P";"Tab2",#N/A,FALSE,"P"}</definedName>
    <definedName name="yy" localSheetId="6">{"Tab1",#N/A,FALSE,"P";"Tab2",#N/A,FALSE,"P"}</definedName>
    <definedName name="yy" localSheetId="11">{"Tab1",#N/A,FALSE,"P";"Tab2",#N/A,FALSE,"P"}</definedName>
    <definedName name="yy">{"Tab1",#N/A,FALSE,"P";"Tab2",#N/A,FALSE,"P"}</definedName>
    <definedName name="yyuu" localSheetId="6">{"Riqfin97",#N/A,FALSE,"Tran";"Riqfinpro",#N/A,FALSE,"Tran"}</definedName>
    <definedName name="yyuu" localSheetId="11">{"Riqfin97",#N/A,FALSE,"Tran";"Riqfinpro",#N/A,FALSE,"Tran"}</definedName>
    <definedName name="yyuu">{"Riqfin97",#N/A,FALSE,"Tran";"Riqfinpro",#N/A,FALSE,"Tran"}</definedName>
    <definedName name="yyy" localSheetId="6">{"Tab1",#N/A,FALSE,"P";"Tab2",#N/A,FALSE,"P"}</definedName>
    <definedName name="yyy" localSheetId="11">{"Tab1",#N/A,FALSE,"P";"Tab2",#N/A,FALSE,"P"}</definedName>
    <definedName name="yyy">{"Tab1",#N/A,FALSE,"P";"Tab2",#N/A,FALSE,"P"}</definedName>
    <definedName name="yyyy" localSheetId="6">{"Riqfin97",#N/A,FALSE,"Tran";"Riqfinpro",#N/A,FALSE,"Tran"}</definedName>
    <definedName name="yyyy" localSheetId="11">{"Riqfin97",#N/A,FALSE,"Tran";"Riqfinpro",#N/A,FALSE,"Tran"}</definedName>
    <definedName name="yyyy">{"Riqfin97",#N/A,FALSE,"Tran";"Riqfinpro",#N/A,FALSE,"Tran"}</definedName>
    <definedName name="yyyyy" hidden="1">#REF!</definedName>
    <definedName name="yyyyyy" localSheetId="6">{"Minpmon",#N/A,FALSE,"Monthinput"}</definedName>
    <definedName name="yyyyyy" localSheetId="11">{"Minpmon",#N/A,FALSE,"Monthinput"}</definedName>
    <definedName name="yyyyyy">{"Minpmon",#N/A,FALSE,"Monthinput"}</definedName>
    <definedName name="Z">#REF!</definedName>
    <definedName name="Z_00C67BFA_FEDD_11D1_98B3_00C04FC96ABD_.wvu.Rows">#REF!,#REF!,#REF!,#REF!,#REF!,#REF!</definedName>
    <definedName name="Z_00C67BFB_FEDD_11D1_98B3_00C04FC96ABD_.wvu.Rows">#REF!,#REF!,#REF!,#REF!,#REF!,#REF!</definedName>
    <definedName name="Z_00C67BFC_FEDD_11D1_98B3_00C04FC96ABD_.wvu.Rows">#REF!,#REF!,#REF!,#REF!,#REF!,#REF!</definedName>
    <definedName name="Z_00C67BFD_FEDD_11D1_98B3_00C04FC96ABD_.wvu.Rows">#REF!,#REF!,#REF!,#REF!,#REF!,#REF!</definedName>
    <definedName name="Z_00C67BFE_FEDD_11D1_98B3_00C04FC96ABD_.wvu.Rows">#REF!,#REF!,#REF!,#REF!,#REF!,#REF!,#REF!,#REF!</definedName>
    <definedName name="Z_00C67BFF_FEDD_11D1_98B3_00C04FC96ABD_.wvu.Rows">#REF!,#REF!,#REF!,#REF!,#REF!,#REF!,#REF!</definedName>
    <definedName name="Z_00C67C00_FEDD_11D1_98B3_00C04FC96ABD_.wvu.Rows">#REF!,#REF!,#REF!,#REF!,#REF!,#REF!,#REF!</definedName>
    <definedName name="Z_00C67C01_FEDD_11D1_98B3_00C04FC96ABD_.wvu.Rows">#REF!,#REF!,#REF!,#REF!,#REF!,#REF!,#REF!,#REF!</definedName>
    <definedName name="Z_00C67C02_FEDD_11D1_98B3_00C04FC96ABD_.wvu.Rows">#REF!,#REF!,#REF!,#REF!,#REF!,#REF!,#REF!,#REF!</definedName>
    <definedName name="Z_00C67C03_FEDD_11D1_98B3_00C04FC96ABD_.wvu.Rows">#REF!,#REF!,#REF!,#REF!,#REF!,#REF!,#REF!,#REF!</definedName>
    <definedName name="Z_00C67C05_FEDD_11D1_98B3_00C04FC96ABD_.wvu.Rows">#REF!,#REF!,#REF!,#REF!,#REF!,#REF!,#REF!,#REF!,#REF!</definedName>
    <definedName name="Z_00C67C06_FEDD_11D1_98B3_00C04FC96ABD_.wvu.Rows">#REF!,#REF!,#REF!,#REF!,#REF!,#REF!,#REF!,#REF!,#REF!</definedName>
    <definedName name="Z_00C67C07_FEDD_11D1_98B3_00C04FC96ABD_.wvu.Rows">#REF!,#REF!,#REF!,#REF!,#REF!,#REF!</definedName>
    <definedName name="Z_041FA3A7_30CF_11D1_A8EA_00A02466B35E_.wvu.Cols" hidden="1">#REF!,#REF!,#REF!,#REF!</definedName>
    <definedName name="Z_041FA3A7_30CF_11D1_A8EA_00A02466B35E_.wvu.Rows" hidden="1">#REF!,#REF!</definedName>
    <definedName name="Z_112039D0_FF0B_11D1_98B3_00C04FC96ABD_.wvu.Rows">#REF!,#REF!,#REF!,#REF!,#REF!,#REF!</definedName>
    <definedName name="Z_112039D1_FF0B_11D1_98B3_00C04FC96ABD_.wvu.Rows">#REF!,#REF!,#REF!,#REF!,#REF!,#REF!</definedName>
    <definedName name="Z_112039D2_FF0B_11D1_98B3_00C04FC96ABD_.wvu.Rows">#REF!,#REF!,#REF!,#REF!,#REF!,#REF!</definedName>
    <definedName name="Z_112039D3_FF0B_11D1_98B3_00C04FC96ABD_.wvu.Rows">#REF!,#REF!,#REF!,#REF!,#REF!,#REF!</definedName>
    <definedName name="Z_112039D4_FF0B_11D1_98B3_00C04FC96ABD_.wvu.Rows">#REF!,#REF!,#REF!,#REF!,#REF!,#REF!,#REF!,#REF!</definedName>
    <definedName name="Z_112039D5_FF0B_11D1_98B3_00C04FC96ABD_.wvu.Rows">#REF!,#REF!,#REF!,#REF!,#REF!,#REF!,#REF!</definedName>
    <definedName name="Z_112039D6_FF0B_11D1_98B3_00C04FC96ABD_.wvu.Rows">#REF!,#REF!,#REF!,#REF!,#REF!,#REF!,#REF!</definedName>
    <definedName name="Z_112039D7_FF0B_11D1_98B3_00C04FC96ABD_.wvu.Rows">#REF!,#REF!,#REF!,#REF!,#REF!,#REF!,#REF!,#REF!</definedName>
    <definedName name="Z_112039D8_FF0B_11D1_98B3_00C04FC96ABD_.wvu.Rows">#REF!,#REF!,#REF!,#REF!,#REF!,#REF!,#REF!,#REF!</definedName>
    <definedName name="Z_112039D9_FF0B_11D1_98B3_00C04FC96ABD_.wvu.Rows">#REF!,#REF!,#REF!,#REF!,#REF!,#REF!,#REF!,#REF!</definedName>
    <definedName name="Z_112039DB_FF0B_11D1_98B3_00C04FC96ABD_.wvu.Rows">#REF!,#REF!,#REF!,#REF!,#REF!,#REF!,#REF!,#REF!,#REF!</definedName>
    <definedName name="Z_112039DC_FF0B_11D1_98B3_00C04FC96ABD_.wvu.Rows">#REF!,#REF!,#REF!,#REF!,#REF!,#REF!,#REF!,#REF!,#REF!</definedName>
    <definedName name="Z_112039DD_FF0B_11D1_98B3_00C04FC96ABD_.wvu.Rows">#REF!,#REF!,#REF!,#REF!,#REF!,#REF!</definedName>
    <definedName name="Z_112B8339_2081_11D2_BFD2_00A02466506E_.wvu.PrintTitles">#REF!,#REF!</definedName>
    <definedName name="Z_112B833B_2081_11D2_BFD2_00A02466506E_.wvu.PrintTitles">#REF!,#REF!</definedName>
    <definedName name="Z_1A87067C_7102_4E77_BC8D_D9D9112AA17F_.wvu.Cols">#REF!</definedName>
    <definedName name="Z_1A87067C_7102_4E77_BC8D_D9D9112AA17F_.wvu.PrintArea">#REF!</definedName>
    <definedName name="Z_1A87067C_7102_4E77_BC8D_D9D9112AA17F_.wvu.PrintTitles">#REF!</definedName>
    <definedName name="Z_1A87067C_7102_4E77_BC8D_D9D9112AA17F_.wvu.Rows">#REF!</definedName>
    <definedName name="Z_1A8C061B_2301_11D3_BFD1_000039E37209_.wvu.Cols">#REF!,#REF!,#REF!</definedName>
    <definedName name="Z_1A8C061B_2301_11D3_BFD1_000039E37209_.wvu.Rows">#REF!,#REF!,#REF!</definedName>
    <definedName name="Z_1A8C061C_2301_11D3_BFD1_000039E37209_.wvu.Cols">#REF!,#REF!,#REF!</definedName>
    <definedName name="Z_1A8C061C_2301_11D3_BFD1_000039E37209_.wvu.Rows">#REF!,#REF!,#REF!</definedName>
    <definedName name="Z_1A8C061E_2301_11D3_BFD1_000039E37209_.wvu.Cols">#REF!,#REF!,#REF!</definedName>
    <definedName name="Z_1A8C061E_2301_11D3_BFD1_000039E37209_.wvu.Rows">#REF!,#REF!,#REF!</definedName>
    <definedName name="Z_1A8C061F_2301_11D3_BFD1_000039E37209_.wvu.Cols">#REF!,#REF!,#REF!</definedName>
    <definedName name="Z_1A8C061F_2301_11D3_BFD1_000039E37209_.wvu.Rows">#REF!,#REF!,#REF!</definedName>
    <definedName name="Z_1F4C2007_FFA7_11D1_98B6_00C04FC96ABD_.wvu.Rows">#REF!,#REF!,#REF!,#REF!,#REF!,#REF!</definedName>
    <definedName name="Z_1F4C2008_FFA7_11D1_98B6_00C04FC96ABD_.wvu.Rows">#REF!,#REF!,#REF!,#REF!,#REF!,#REF!</definedName>
    <definedName name="Z_1F4C2009_FFA7_11D1_98B6_00C04FC96ABD_.wvu.Rows">#REF!,#REF!,#REF!,#REF!,#REF!,#REF!</definedName>
    <definedName name="Z_1F4C200A_FFA7_11D1_98B6_00C04FC96ABD_.wvu.Rows">#REF!,#REF!,#REF!,#REF!,#REF!,#REF!</definedName>
    <definedName name="Z_1F4C200B_FFA7_11D1_98B6_00C04FC96ABD_.wvu.Rows">#REF!,#REF!,#REF!,#REF!,#REF!,#REF!,#REF!,#REF!</definedName>
    <definedName name="Z_1F4C200C_FFA7_11D1_98B6_00C04FC96ABD_.wvu.Rows">#REF!,#REF!,#REF!,#REF!,#REF!,#REF!,#REF!</definedName>
    <definedName name="Z_1F4C200D_FFA7_11D1_98B6_00C04FC96ABD_.wvu.Rows">#REF!,#REF!,#REF!,#REF!,#REF!,#REF!,#REF!</definedName>
    <definedName name="Z_1F4C200E_FFA7_11D1_98B6_00C04FC96ABD_.wvu.Rows">#REF!,#REF!,#REF!,#REF!,#REF!,#REF!,#REF!,#REF!</definedName>
    <definedName name="Z_1F4C200F_FFA7_11D1_98B6_00C04FC96ABD_.wvu.Rows">#REF!,#REF!,#REF!,#REF!,#REF!,#REF!,#REF!,#REF!</definedName>
    <definedName name="Z_1F4C2010_FFA7_11D1_98B6_00C04FC96ABD_.wvu.Rows">#REF!,#REF!,#REF!,#REF!,#REF!,#REF!,#REF!,#REF!</definedName>
    <definedName name="Z_1F4C2012_FFA7_11D1_98B6_00C04FC96ABD_.wvu.Rows">#REF!,#REF!,#REF!,#REF!,#REF!,#REF!,#REF!,#REF!,#REF!</definedName>
    <definedName name="Z_1F4C2013_FFA7_11D1_98B6_00C04FC96ABD_.wvu.Rows">#REF!,#REF!,#REF!,#REF!,#REF!,#REF!,#REF!,#REF!,#REF!</definedName>
    <definedName name="Z_1F4C2014_FFA7_11D1_98B6_00C04FC96ABD_.wvu.Rows">#REF!,#REF!,#REF!,#REF!,#REF!,#REF!</definedName>
    <definedName name="Z_49B0A4B0_963B_11D1_BFD1_00A02466B680_.wvu.Rows">#REF!,#REF!,#REF!,#REF!,#REF!,#REF!</definedName>
    <definedName name="Z_49B0A4B1_963B_11D1_BFD1_00A02466B680_.wvu.Rows">#REF!,#REF!,#REF!,#REF!,#REF!,#REF!</definedName>
    <definedName name="Z_49B0A4B4_963B_11D1_BFD1_00A02466B680_.wvu.Rows">#REF!,#REF!,#REF!,#REF!,#REF!,#REF!,#REF!,#REF!</definedName>
    <definedName name="Z_49B0A4B5_963B_11D1_BFD1_00A02466B680_.wvu.Rows">#REF!,#REF!,#REF!,#REF!,#REF!,#REF!,#REF!</definedName>
    <definedName name="Z_49B0A4B6_963B_11D1_BFD1_00A02466B680_.wvu.Rows">#REF!,#REF!,#REF!,#REF!,#REF!,#REF!,#REF!</definedName>
    <definedName name="Z_49B0A4B7_963B_11D1_BFD1_00A02466B680_.wvu.Rows">#REF!,#REF!,#REF!,#REF!,#REF!,#REF!,#REF!,#REF!</definedName>
    <definedName name="Z_49B0A4B8_963B_11D1_BFD1_00A02466B680_.wvu.Rows">#REF!,#REF!,#REF!,#REF!,#REF!,#REF!,#REF!,#REF!</definedName>
    <definedName name="Z_49B0A4B9_963B_11D1_BFD1_00A02466B680_.wvu.Rows">#REF!,#REF!,#REF!,#REF!,#REF!,#REF!,#REF!,#REF!</definedName>
    <definedName name="Z_49B0A4BB_963B_11D1_BFD1_00A02466B680_.wvu.Rows">#REF!,#REF!,#REF!,#REF!,#REF!,#REF!,#REF!,#REF!,#REF!</definedName>
    <definedName name="Z_49B0A4BC_963B_11D1_BFD1_00A02466B680_.wvu.Rows">#REF!,#REF!,#REF!,#REF!,#REF!,#REF!,#REF!,#REF!,#REF!</definedName>
    <definedName name="Z_49B0A4BD_963B_11D1_BFD1_00A02466B680_.wvu.Rows">#REF!,#REF!,#REF!,#REF!,#REF!,#REF!</definedName>
    <definedName name="Z_5F3A46A2_1A22_4FA5_A3C5_1DEBD8BB3B53_.wvu.Cols">#REF!</definedName>
    <definedName name="Z_5F3A46A2_1A22_4FA5_A3C5_1DEBD8BB3B53_.wvu.PrintArea">#REF!</definedName>
    <definedName name="Z_5F3A46A2_1A22_4FA5_A3C5_1DEBD8BB3B53_.wvu.PrintTitles">#REF!</definedName>
    <definedName name="Z_5F3A46A2_1A22_4FA5_A3C5_1DEBD8BB3B53_.wvu.Rows">#REF!</definedName>
    <definedName name="Z_65976840_70A2_11D2_BFD1_C1F7123CE332_.wvu.PrintTitles">#REF!,#REF!</definedName>
    <definedName name="Z_95224721_0485_11D4_BFD1_00508B5F4DA4_.wvu.Cols">#REF!</definedName>
    <definedName name="Z_9E0C48F8_FFCC_11D1_98BA_00C04FC96ABD_.wvu.Rows">#REF!,#REF!,#REF!,#REF!,#REF!,#REF!</definedName>
    <definedName name="Z_9E0C48F9_FFCC_11D1_98BA_00C04FC96ABD_.wvu.Rows">#REF!,#REF!,#REF!,#REF!,#REF!,#REF!</definedName>
    <definedName name="Z_9E0C48FA_FFCC_11D1_98BA_00C04FC96ABD_.wvu.Rows">#REF!,#REF!,#REF!,#REF!,#REF!,#REF!</definedName>
    <definedName name="Z_9E0C48FB_FFCC_11D1_98BA_00C04FC96ABD_.wvu.Rows">#REF!,#REF!,#REF!,#REF!,#REF!,#REF!</definedName>
    <definedName name="Z_9E0C48FC_FFCC_11D1_98BA_00C04FC96ABD_.wvu.Rows">#REF!,#REF!,#REF!,#REF!,#REF!,#REF!,#REF!,#REF!</definedName>
    <definedName name="Z_9E0C48FD_FFCC_11D1_98BA_00C04FC96ABD_.wvu.Rows">#REF!,#REF!,#REF!,#REF!,#REF!,#REF!,#REF!</definedName>
    <definedName name="Z_9E0C48FE_FFCC_11D1_98BA_00C04FC96ABD_.wvu.Rows">#REF!,#REF!,#REF!,#REF!,#REF!,#REF!,#REF!</definedName>
    <definedName name="Z_9E0C48FF_FFCC_11D1_98BA_00C04FC96ABD_.wvu.Rows">#REF!,#REF!,#REF!,#REF!,#REF!,#REF!,#REF!,#REF!</definedName>
    <definedName name="Z_9E0C4900_FFCC_11D1_98BA_00C04FC96ABD_.wvu.Rows">#REF!,#REF!,#REF!,#REF!,#REF!,#REF!,#REF!,#REF!</definedName>
    <definedName name="Z_9E0C4901_FFCC_11D1_98BA_00C04FC96ABD_.wvu.Rows">#REF!,#REF!,#REF!,#REF!,#REF!,#REF!,#REF!,#REF!</definedName>
    <definedName name="Z_9E0C4903_FFCC_11D1_98BA_00C04FC96ABD_.wvu.Rows">#REF!,#REF!,#REF!,#REF!,#REF!,#REF!,#REF!,#REF!,#REF!</definedName>
    <definedName name="Z_9E0C4904_FFCC_11D1_98BA_00C04FC96ABD_.wvu.Rows">#REF!,#REF!,#REF!,#REF!,#REF!,#REF!,#REF!,#REF!,#REF!</definedName>
    <definedName name="Z_9E0C4905_FFCC_11D1_98BA_00C04FC96ABD_.wvu.Rows">#REF!,#REF!,#REF!,#REF!,#REF!,#REF!</definedName>
    <definedName name="Z_B424DD41_AAD0_11D2_BFD1_00A02466506E_.wvu.PrintTitles">#REF!,#REF!</definedName>
    <definedName name="Z_BC2BFA12_1C91_11D2_BFD2_00A02466506E_.wvu.PrintTitles">#REF!,#REF!</definedName>
    <definedName name="Z_C21FAE85_013A_11D2_98BD_00C04FC96ABD_.wvu.Rows">#REF!,#REF!,#REF!,#REF!,#REF!,#REF!</definedName>
    <definedName name="Z_C21FAE86_013A_11D2_98BD_00C04FC96ABD_.wvu.Rows">#REF!,#REF!,#REF!,#REF!,#REF!,#REF!</definedName>
    <definedName name="Z_C21FAE87_013A_11D2_98BD_00C04FC96ABD_.wvu.Rows">#REF!,#REF!,#REF!,#REF!,#REF!,#REF!</definedName>
    <definedName name="Z_C21FAE88_013A_11D2_98BD_00C04FC96ABD_.wvu.Rows">#REF!,#REF!,#REF!,#REF!,#REF!,#REF!</definedName>
    <definedName name="Z_C21FAE89_013A_11D2_98BD_00C04FC96ABD_.wvu.Rows">#REF!,#REF!,#REF!,#REF!,#REF!,#REF!,#REF!,#REF!</definedName>
    <definedName name="Z_C21FAE8A_013A_11D2_98BD_00C04FC96ABD_.wvu.Rows">#REF!,#REF!,#REF!,#REF!,#REF!,#REF!,#REF!</definedName>
    <definedName name="Z_C21FAE8B_013A_11D2_98BD_00C04FC96ABD_.wvu.Rows">#REF!,#REF!,#REF!,#REF!,#REF!,#REF!,#REF!</definedName>
    <definedName name="Z_C21FAE8C_013A_11D2_98BD_00C04FC96ABD_.wvu.Rows">#REF!,#REF!,#REF!,#REF!,#REF!,#REF!,#REF!,#REF!</definedName>
    <definedName name="Z_C21FAE8D_013A_11D2_98BD_00C04FC96ABD_.wvu.Rows">#REF!,#REF!,#REF!,#REF!,#REF!,#REF!,#REF!,#REF!</definedName>
    <definedName name="Z_C21FAE8E_013A_11D2_98BD_00C04FC96ABD_.wvu.Rows">#REF!,#REF!,#REF!,#REF!,#REF!,#REF!,#REF!,#REF!</definedName>
    <definedName name="Z_C21FAE90_013A_11D2_98BD_00C04FC96ABD_.wvu.Rows">#REF!,#REF!,#REF!,#REF!,#REF!,#REF!,#REF!,#REF!,#REF!</definedName>
    <definedName name="Z_C21FAE91_013A_11D2_98BD_00C04FC96ABD_.wvu.Rows">#REF!,#REF!,#REF!,#REF!,#REF!,#REF!,#REF!,#REF!,#REF!</definedName>
    <definedName name="Z_C21FAE92_013A_11D2_98BD_00C04FC96ABD_.wvu.Rows">#REF!,#REF!,#REF!,#REF!,#REF!,#REF!</definedName>
    <definedName name="Z_CF25EF4A_FFAB_11D1_98B7_00C04FC96ABD_.wvu.Rows">#REF!,#REF!,#REF!,#REF!,#REF!,#REF!</definedName>
    <definedName name="Z_CF25EF4B_FFAB_11D1_98B7_00C04FC96ABD_.wvu.Rows">#REF!,#REF!,#REF!,#REF!,#REF!,#REF!</definedName>
    <definedName name="Z_CF25EF4C_FFAB_11D1_98B7_00C04FC96ABD_.wvu.Rows">#REF!,#REF!,#REF!,#REF!,#REF!,#REF!</definedName>
    <definedName name="Z_CF25EF4D_FFAB_11D1_98B7_00C04FC96ABD_.wvu.Rows">#REF!,#REF!,#REF!,#REF!,#REF!,#REF!</definedName>
    <definedName name="Z_CF25EF4E_FFAB_11D1_98B7_00C04FC96ABD_.wvu.Rows">#REF!,#REF!,#REF!,#REF!,#REF!,#REF!,#REF!,#REF!</definedName>
    <definedName name="Z_CF25EF4F_FFAB_11D1_98B7_00C04FC96ABD_.wvu.Rows">#REF!,#REF!,#REF!,#REF!,#REF!,#REF!,#REF!</definedName>
    <definedName name="Z_CF25EF50_FFAB_11D1_98B7_00C04FC96ABD_.wvu.Rows">#REF!,#REF!,#REF!,#REF!,#REF!,#REF!,#REF!</definedName>
    <definedName name="Z_CF25EF51_FFAB_11D1_98B7_00C04FC96ABD_.wvu.Rows">#REF!,#REF!,#REF!,#REF!,#REF!,#REF!,#REF!,#REF!</definedName>
    <definedName name="Z_CF25EF52_FFAB_11D1_98B7_00C04FC96ABD_.wvu.Rows">#REF!,#REF!,#REF!,#REF!,#REF!,#REF!,#REF!,#REF!</definedName>
    <definedName name="Z_CF25EF53_FFAB_11D1_98B7_00C04FC96ABD_.wvu.Rows">#REF!,#REF!,#REF!,#REF!,#REF!,#REF!,#REF!,#REF!</definedName>
    <definedName name="Z_CF25EF55_FFAB_11D1_98B7_00C04FC96ABD_.wvu.Rows">#REF!,#REF!,#REF!,#REF!,#REF!,#REF!,#REF!,#REF!,#REF!</definedName>
    <definedName name="Z_CF25EF56_FFAB_11D1_98B7_00C04FC96ABD_.wvu.Rows">#REF!,#REF!,#REF!,#REF!,#REF!,#REF!,#REF!,#REF!,#REF!</definedName>
    <definedName name="Z_CF25EF57_FFAB_11D1_98B7_00C04FC96ABD_.wvu.Rows">#REF!,#REF!,#REF!,#REF!,#REF!,#REF!</definedName>
    <definedName name="Z_E6B74681_BCE1_11D2_BFD1_00A02466506E_.wvu.PrintTitles">#REF!,#REF!</definedName>
    <definedName name="Z_EA8011E5_017A_11D2_98BD_00C04FC96ABD_.wvu.Rows">#REF!,#REF!,#REF!,#REF!,#REF!,#REF!,#REF!</definedName>
    <definedName name="Z_EA8011E6_017A_11D2_98BD_00C04FC96ABD_.wvu.Rows">#REF!,#REF!,#REF!,#REF!,#REF!,#REF!,#REF!</definedName>
    <definedName name="Z_EA8011E9_017A_11D2_98BD_00C04FC96ABD_.wvu.Rows">#REF!,#REF!,#REF!,#REF!,#REF!,#REF!,#REF!,#REF!</definedName>
    <definedName name="Z_EA8011EC_017A_11D2_98BD_00C04FC96ABD_.wvu.Rows">#REF!,#REF!,#REF!,#REF!,#REF!,#REF!,#REF!,#REF!,#REF!</definedName>
    <definedName name="Z_EA86CE3A_00A2_11D2_98BC_00C04FC96ABD_.wvu.Rows">#REF!,#REF!,#REF!,#REF!,#REF!,#REF!</definedName>
    <definedName name="Z_EA86CE3B_00A2_11D2_98BC_00C04FC96ABD_.wvu.Rows">#REF!,#REF!,#REF!,#REF!,#REF!,#REF!</definedName>
    <definedName name="Z_EA86CE3C_00A2_11D2_98BC_00C04FC96ABD_.wvu.Rows">#REF!,#REF!,#REF!,#REF!,#REF!,#REF!</definedName>
    <definedName name="Z_EA86CE3D_00A2_11D2_98BC_00C04FC96ABD_.wvu.Rows">#REF!,#REF!,#REF!,#REF!,#REF!,#REF!</definedName>
    <definedName name="Z_EA86CE3E_00A2_11D2_98BC_00C04FC96ABD_.wvu.Rows">#REF!,#REF!,#REF!,#REF!,#REF!,#REF!,#REF!,#REF!</definedName>
    <definedName name="Z_EA86CE3F_00A2_11D2_98BC_00C04FC96ABD_.wvu.Rows">#REF!,#REF!,#REF!,#REF!,#REF!,#REF!,#REF!</definedName>
    <definedName name="Z_EA86CE40_00A2_11D2_98BC_00C04FC96ABD_.wvu.Rows">#REF!,#REF!,#REF!,#REF!,#REF!,#REF!,#REF!</definedName>
    <definedName name="Z_EA86CE41_00A2_11D2_98BC_00C04FC96ABD_.wvu.Rows">#REF!,#REF!,#REF!,#REF!,#REF!,#REF!,#REF!,#REF!</definedName>
    <definedName name="Z_EA86CE42_00A2_11D2_98BC_00C04FC96ABD_.wvu.Rows">#REF!,#REF!,#REF!,#REF!,#REF!,#REF!,#REF!,#REF!</definedName>
    <definedName name="Z_EA86CE43_00A2_11D2_98BC_00C04FC96ABD_.wvu.Rows">#REF!,#REF!,#REF!,#REF!,#REF!,#REF!,#REF!,#REF!</definedName>
    <definedName name="Z_EA86CE45_00A2_11D2_98BC_00C04FC96ABD_.wvu.Rows">#REF!,#REF!,#REF!,#REF!,#REF!,#REF!,#REF!,#REF!,#REF!</definedName>
    <definedName name="Z_EA86CE46_00A2_11D2_98BC_00C04FC96ABD_.wvu.Rows">#REF!,#REF!,#REF!,#REF!,#REF!,#REF!,#REF!,#REF!,#REF!</definedName>
    <definedName name="Z_EA86CE47_00A2_11D2_98BC_00C04FC96ABD_.wvu.Rows">#REF!,#REF!,#REF!,#REF!,#REF!,#REF!</definedName>
    <definedName name="zb" localSheetId="6">{"WEO",#N/A,FALSE,"T"}</definedName>
    <definedName name="zb" localSheetId="11">{"WEO",#N/A,FALSE,"T"}</definedName>
    <definedName name="zb">{"WEO",#N/A,FALSE,"T"}</definedName>
    <definedName name="zc" localSheetId="6">{"Tab1",#N/A,FALSE,"P";"Tab2",#N/A,FALSE,"P"}</definedName>
    <definedName name="zc" localSheetId="11">{"Tab1",#N/A,FALSE,"P";"Tab2",#N/A,FALSE,"P"}</definedName>
    <definedName name="zc">{"Tab1",#N/A,FALSE,"P";"Tab2",#N/A,FALSE,"P"}</definedName>
    <definedName name="zczxcz" localSheetId="6">{"Tab1",#N/A,FALSE,"P";"Tab2",#N/A,FALSE,"P"}</definedName>
    <definedName name="zczxcz" localSheetId="11">{"Tab1",#N/A,FALSE,"P";"Tab2",#N/A,FALSE,"P"}</definedName>
    <definedName name="zczxcz">{"Tab1",#N/A,FALSE,"P";"Tab2",#N/A,FALSE,"P"}</definedName>
    <definedName name="zio" localSheetId="6">{"Tab1",#N/A,FALSE,"P";"Tab2",#N/A,FALSE,"P"}</definedName>
    <definedName name="zio" localSheetId="11">{"Tab1",#N/A,FALSE,"P";"Tab2",#N/A,FALSE,"P"}</definedName>
    <definedName name="zio">{"Tab1",#N/A,FALSE,"P";"Tab2",#N/A,FALSE,"P"}</definedName>
    <definedName name="zj" localSheetId="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v" localSheetId="6">{"Minpmon",#N/A,FALSE,"Monthinput"}</definedName>
    <definedName name="zv" localSheetId="11">{"Minpmon",#N/A,FALSE,"Monthinput"}</definedName>
    <definedName name="zv">{"Minpmon",#N/A,FALSE,"Monthinput"}</definedName>
    <definedName name="zx" localSheetId="6">{"Tab1",#N/A,FALSE,"P";"Tab2",#N/A,FALSE,"P"}</definedName>
    <definedName name="zx" localSheetId="11">{"Tab1",#N/A,FALSE,"P";"Tab2",#N/A,FALSE,"P"}</definedName>
    <definedName name="zx">{"Tab1",#N/A,FALSE,"P";"Tab2",#N/A,FALSE,"P"}</definedName>
    <definedName name="zxc" localSheetId="6">{"Tab1",#N/A,FALSE,"P";"Tab2",#N/A,FALSE,"P"}</definedName>
    <definedName name="zxc" localSheetId="11">{"Tab1",#N/A,FALSE,"P";"Tab2",#N/A,FALSE,"P"}</definedName>
    <definedName name="zxc">{"Tab1",#N/A,FALSE,"P";"Tab2",#N/A,FALSE,"P"}</definedName>
    <definedName name="zxcv" localSheetId="6">{"Tab1",#N/A,FALSE,"P";"Tab2",#N/A,FALSE,"P"}</definedName>
    <definedName name="zxcv" localSheetId="11">{"Tab1",#N/A,FALSE,"P";"Tab2",#N/A,FALSE,"P"}</definedName>
    <definedName name="zxcv">{"Tab1",#N/A,FALSE,"P";"Tab2",#N/A,FALSE,"P"}</definedName>
    <definedName name="zz" localSheetId="6">{"Tab1",#N/A,FALSE,"P";"Tab2",#N/A,FALSE,"P"}</definedName>
    <definedName name="zz" localSheetId="11">{"Tab1",#N/A,FALSE,"P";"Tab2",#N/A,FALSE,"P"}</definedName>
    <definedName name="zz">{"Tab1",#N/A,FALSE,"P";"Tab2",#N/A,FALSE,"P"}</definedName>
    <definedName name="zzz" localSheetId="6">{"Minpmon",#N/A,FALSE,"Monthinput"}</definedName>
    <definedName name="zzz" localSheetId="11">{"Minpmon",#N/A,FALSE,"Monthinput"}</definedName>
    <definedName name="zzz">{"Minpmon",#N/A,FALSE,"Monthinput"}</definedName>
    <definedName name="zzz.com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localSheetId="6">{"Tab1",#N/A,FALSE,"P";"Tab2",#N/A,FALSE,"P"}</definedName>
    <definedName name="zzzz" localSheetId="11">{"Tab1",#N/A,FALSE,"P";"Tab2",#N/A,FALSE,"P"}</definedName>
    <definedName name="zzzz">{"Tab1",#N/A,FALSE,"P";"Tab2",#N/A,FALSE,"P"}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9" l="1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B5" i="15" l="1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4" i="12"/>
  <c r="C4" i="12"/>
  <c r="B5" i="12"/>
  <c r="C5" i="12"/>
  <c r="B6" i="12"/>
  <c r="C6" i="12"/>
  <c r="B7" i="12"/>
  <c r="C7" i="12"/>
  <c r="B8" i="12"/>
  <c r="C8" i="12"/>
  <c r="B9" i="12"/>
  <c r="C9" i="12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AL2" i="4" l="1"/>
  <c r="BF2" i="4"/>
  <c r="AL3" i="4"/>
  <c r="F5" i="4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BE5" i="4" s="1"/>
  <c r="BF5" i="4" s="1"/>
  <c r="H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Martín Martín, Juan Francisco</author>
  </authors>
  <commentList>
    <comment ref="C45" authorId="0" shapeId="0" xr:uid="{6BDA01E9-3023-44BF-BABF-E68E426C592B}">
      <text>
        <r>
          <rPr>
            <b/>
            <sz val="9"/>
            <color indexed="81"/>
            <rFont val="Tahoma"/>
            <family val="2"/>
          </rPr>
          <t>Martín Martín, Juan Francisco:</t>
        </r>
        <r>
          <rPr>
            <sz val="9"/>
            <color indexed="81"/>
            <rFont val="Tahoma"/>
            <family val="2"/>
          </rPr>
          <t xml:space="preserve">
descontamos del total ceuta y melilla</t>
        </r>
      </text>
    </comment>
  </commentList>
</comments>
</file>

<file path=xl/sharedStrings.xml><?xml version="1.0" encoding="utf-8"?>
<sst xmlns="http://schemas.openxmlformats.org/spreadsheetml/2006/main" count="385" uniqueCount="260">
  <si>
    <t>Fuente: AIReF</t>
  </si>
  <si>
    <t>AIReF</t>
  </si>
  <si>
    <t>DESCOMPOSICIÓN DEL CRECIMIENTO DEL GASTO SANITARIO DERIVADO DE CAMBIOS EN LA POBLACIÓN Y OTROS FACTORES (%)</t>
  </si>
  <si>
    <t>Gráfico 26</t>
  </si>
  <si>
    <t>Gráfico 24</t>
  </si>
  <si>
    <t>Gráfico 23</t>
  </si>
  <si>
    <t>Gráfico 21</t>
  </si>
  <si>
    <t>Gráfico 20</t>
  </si>
  <si>
    <t>Gráfico 19</t>
  </si>
  <si>
    <t>Gráfico 18</t>
  </si>
  <si>
    <t>Gráfico 17</t>
  </si>
  <si>
    <t>Gráfico 14</t>
  </si>
  <si>
    <t>Gráfico 13</t>
  </si>
  <si>
    <t>Fuente</t>
  </si>
  <si>
    <t>Título</t>
  </si>
  <si>
    <t>Hoja</t>
  </si>
  <si>
    <t>Página</t>
  </si>
  <si>
    <t>Título Nivel 2</t>
  </si>
  <si>
    <t>Título Nivel 1</t>
  </si>
  <si>
    <t>Capítulo</t>
  </si>
  <si>
    <t>Total</t>
  </si>
  <si>
    <t>Crecimiento por otros factores</t>
  </si>
  <si>
    <t>Crecimiento por demografía</t>
  </si>
  <si>
    <t>Desglose del crecimiento del gasto en educacion</t>
  </si>
  <si>
    <t>Descomp crecimto</t>
  </si>
  <si>
    <t>DESCOMPOSICIÓN DEL CRECIMIENTO DEL GASTO EN EDUCACIÓN DERIVADO DE CAMBIOS EN LA POBLACIÓN Y OTROS FACTORES (%)</t>
  </si>
  <si>
    <t>DOCUMENTO TÉCNICO SOBRE LA METODOLOGÍA DE LOS MODELOS DE SANIDAD, EDUCACIÓN Y CUIDADOS DE LARGA DURACIÓN</t>
  </si>
  <si>
    <t>Gasto en sanidad</t>
  </si>
  <si>
    <t>Resto del gasto</t>
  </si>
  <si>
    <t>Gasto en Farmacia</t>
  </si>
  <si>
    <t>Gasto Atención Primaria</t>
  </si>
  <si>
    <t>Gasto Atención Especializada</t>
  </si>
  <si>
    <t>Gasto  Hospitalario</t>
  </si>
  <si>
    <t>Año</t>
  </si>
  <si>
    <t>GRÁFICO 3.</t>
  </si>
  <si>
    <t>EVOLUCIÓN DEL GASTO EN SERVICIOS HOSPITALARIOS (%PIB)</t>
  </si>
  <si>
    <t>Fuente: EGSP, SCS, COFOG y AIReF</t>
  </si>
  <si>
    <t>GRÁFICO 4. EVOLUCIÓN DEL GASTO MEDIO EN ATENCIÓN ESPECIALIZADA (%PIB)</t>
  </si>
  <si>
    <t>GRÁFICO 5. EVOLUCIÓN DEL GASTO EN ATENCIÓN PRIMARIA (%PIB)</t>
  </si>
  <si>
    <t>Mujeres</t>
  </si>
  <si>
    <t>Hombres</t>
  </si>
  <si>
    <t>15-24</t>
  </si>
  <si>
    <t>25-34</t>
  </si>
  <si>
    <t>35-44</t>
  </si>
  <si>
    <t>45-54</t>
  </si>
  <si>
    <t>55-64</t>
  </si>
  <si>
    <t>65-74</t>
  </si>
  <si>
    <t>75-84</t>
  </si>
  <si>
    <t>85+</t>
  </si>
  <si>
    <t>CON RECETA</t>
  </si>
  <si>
    <t>SIN RECETA</t>
  </si>
  <si>
    <t>GRÁFICO 6.</t>
  </si>
  <si>
    <t>DISTRIBUCIÓN DEL CONSUMO DE MEDICAMENTOS CON RECETA MÉDICA</t>
  </si>
  <si>
    <t>GRÁFICO 7.</t>
  </si>
  <si>
    <t>DISTRIBUCIÓN DEL CONSUMO DE MEDICAMENTOS SIN RECETA MÉDICA</t>
  </si>
  <si>
    <t>Fuente: ENS 2017</t>
  </si>
  <si>
    <t xml:space="preserve">NOTA JF: </t>
  </si>
  <si>
    <t>Mujer</t>
  </si>
  <si>
    <t>Hombre</t>
  </si>
  <si>
    <t>Edad</t>
  </si>
  <si>
    <t>GRÁFICO 8.</t>
  </si>
  <si>
    <t>DISTRIBUCIÓN DEL GASTO EN FARMACIA</t>
  </si>
  <si>
    <t>Fuente: ENS 2017 y AIReF</t>
  </si>
  <si>
    <t>GRÁFICO 9.</t>
  </si>
  <si>
    <t>EVOLUCIÓN DEL GASTO EN FARMACIA (%PIB)</t>
  </si>
  <si>
    <t>GRÁFICO 10. EVOLUCIÓN DEL RESTO DEL GASTO EN SANIDAD (%PIB)</t>
  </si>
  <si>
    <t>80 y más</t>
  </si>
  <si>
    <t>95 y más</t>
  </si>
  <si>
    <t>90 a 94</t>
  </si>
  <si>
    <t>85 a 89</t>
  </si>
  <si>
    <t>80 a 84</t>
  </si>
  <si>
    <t>75 a 79</t>
  </si>
  <si>
    <t>70 a 74</t>
  </si>
  <si>
    <t>65 a 69</t>
  </si>
  <si>
    <t>60 a 64</t>
  </si>
  <si>
    <t>55 a 59</t>
  </si>
  <si>
    <t>50 a 54</t>
  </si>
  <si>
    <t>45 a 49</t>
  </si>
  <si>
    <t>40 a 44</t>
  </si>
  <si>
    <t>35 a 39</t>
  </si>
  <si>
    <t>30 a 34</t>
  </si>
  <si>
    <t>25 a 29</t>
  </si>
  <si>
    <t>20 a 24</t>
  </si>
  <si>
    <t>15 a 19</t>
  </si>
  <si>
    <t>10 a 14</t>
  </si>
  <si>
    <t>5 a 9</t>
  </si>
  <si>
    <t>0 a 4</t>
  </si>
  <si>
    <t>Ambos sexos</t>
  </si>
  <si>
    <t>Gasto per cápita (euros)</t>
  </si>
  <si>
    <t>GRÁFICO 11.</t>
  </si>
  <si>
    <t>PERFIL DEL GASTO SANITARIO POR GÉNERO Y GRUPO DE EDAD (PER CÁPITA). AÑO 2022</t>
  </si>
  <si>
    <t>GRÁFICO 12. EVOLUCIÓN DEL GASTO EN SANIDAD (%PIB)</t>
  </si>
  <si>
    <t>Fuente: COFOG y AIReF</t>
  </si>
  <si>
    <t>GRÁFICO 13.</t>
  </si>
  <si>
    <t>Fuente: EGSP, IGAE, INE y AIReF</t>
  </si>
  <si>
    <t>Otros gastos</t>
  </si>
  <si>
    <t>Educación universitaria</t>
  </si>
  <si>
    <t>Educación especial</t>
  </si>
  <si>
    <t>Enseñanzas de regimen especial</t>
  </si>
  <si>
    <t>Educación secundaria y FP</t>
  </si>
  <si>
    <t>Educación infantil y primaria</t>
  </si>
  <si>
    <t>GRÁFICO 17.</t>
  </si>
  <si>
    <t>REPARTO DEL GASTO EN EDUCACIÓN.2022</t>
  </si>
  <si>
    <t>Fuente: Ministerio de Educación, Formación Profesional y Deportes</t>
  </si>
  <si>
    <t>%</t>
  </si>
  <si>
    <t>Gasto por alumno</t>
  </si>
  <si>
    <t>Número de alumnos</t>
  </si>
  <si>
    <t>GRÁFICO 18.</t>
  </si>
  <si>
    <t>ALUMNOS Y GASTO POR ALUMNO</t>
  </si>
  <si>
    <t>Fuente: Ministerio de Educación y Formación Profesional</t>
  </si>
  <si>
    <t>%PIB</t>
  </si>
  <si>
    <t>GRÁFICO 19.</t>
  </si>
  <si>
    <t>EVOLUCIÓN DEL GASTO TOTAL EN EDUCACIÓN (%PIB)</t>
  </si>
  <si>
    <t>Fuente: IGAE y AIReF</t>
  </si>
  <si>
    <t>GRÁFICO 20.</t>
  </si>
  <si>
    <t>NO</t>
  </si>
  <si>
    <t>NL</t>
  </si>
  <si>
    <t>SE</t>
  </si>
  <si>
    <t>DK</t>
  </si>
  <si>
    <t>BE</t>
  </si>
  <si>
    <t>FI</t>
  </si>
  <si>
    <t>FR</t>
  </si>
  <si>
    <t>DE</t>
  </si>
  <si>
    <t>IT</t>
  </si>
  <si>
    <t>AT</t>
  </si>
  <si>
    <t>CZ</t>
  </si>
  <si>
    <t>IE</t>
  </si>
  <si>
    <t>MT</t>
  </si>
  <si>
    <t>LU</t>
  </si>
  <si>
    <t>SI</t>
  </si>
  <si>
    <t>SK</t>
  </si>
  <si>
    <t>LT</t>
  </si>
  <si>
    <t>ES</t>
  </si>
  <si>
    <t>HU</t>
  </si>
  <si>
    <t>PL</t>
  </si>
  <si>
    <t>BG</t>
  </si>
  <si>
    <t>HR</t>
  </si>
  <si>
    <t>LV</t>
  </si>
  <si>
    <t>PT</t>
  </si>
  <si>
    <t>EE</t>
  </si>
  <si>
    <t>RO</t>
  </si>
  <si>
    <t>CY</t>
  </si>
  <si>
    <t>EL</t>
  </si>
  <si>
    <t>GRÁFICO 23.</t>
  </si>
  <si>
    <t>GASTO EN CUIDADOS DE LARGA DURACIÓN EN PUNTOS DE PIB</t>
  </si>
  <si>
    <t>Fuente: AR2024</t>
  </si>
  <si>
    <t>Promedio</t>
  </si>
  <si>
    <t>95 +</t>
  </si>
  <si>
    <t>90-94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</si>
  <si>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</si>
  <si>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</si>
  <si>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</si>
  <si>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</si>
  <si>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</si>
  <si>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</si>
  <si>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</si>
  <si>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</si>
  <si>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</si>
  <si>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</si>
  <si>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</si>
  <si>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</si>
  <si>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</si>
  <si>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</si>
  <si>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</si>
  <si>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</si>
  <si>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</si>
  <si>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0-4</t>
  </si>
  <si>
    <t>Distribución beneficiarios</t>
  </si>
  <si>
    <t>GRÁFICO 26.</t>
  </si>
  <si>
    <t>EVOLUCIÓN DEL GASTO TOTAL EN CUIDADOS DE LARGA DURACIÓN (%PIB)</t>
  </si>
  <si>
    <t>Fuente: SCS, IGAE y AIReF</t>
  </si>
  <si>
    <t>GRÁFICO 24.</t>
  </si>
  <si>
    <t>BENEFICIARIOS DE CUIDADOS DE LARGA DURACIÓN POR FRANJA DE EDAD Y GÉNERO. AÑO 2023</t>
  </si>
  <si>
    <t>Fuente: IMSERSO y CC.AA:</t>
  </si>
  <si>
    <t>GRÁFICO 25.</t>
  </si>
  <si>
    <t>COSTE POR BENEFICIARIO DE LOS CUIDADOS DE LARGA DURACIÓN POR FRNJA DE EDAD Y GÉNERO. AÑO 2023</t>
  </si>
  <si>
    <t>Fuente: IMSERSO Y CCAAA</t>
  </si>
  <si>
    <t>2. MODELO DE GASTO SANITARIO</t>
  </si>
  <si>
    <t>Gráfico 3</t>
  </si>
  <si>
    <t>EGSP, SCS, COFOG Y AIReF</t>
  </si>
  <si>
    <t>Gráfico 4</t>
  </si>
  <si>
    <t>EVOLUCIÓN DEL GASTO MEDIO EN ATENCIÓN ESPECIALIZADA (%PIB)</t>
  </si>
  <si>
    <t>Gráfico 5</t>
  </si>
  <si>
    <t>EVOLUCIÓN DEL GASTO EN ATENCIÓN PRIMARIA (%PIB)</t>
  </si>
  <si>
    <t>Gráfico 6</t>
  </si>
  <si>
    <t>DISTRIBUCIÓN DEL CONSUMO DE MEDICAMENTOS CON RECETA MÉDICA POR SEXO Y GRUPO DE EDAD</t>
  </si>
  <si>
    <t>ENS 2017</t>
  </si>
  <si>
    <t>Gráfico 7</t>
  </si>
  <si>
    <t>DISTRIBUCIÓN DEL CONSUMO DE MEDICAMENTOS SIN RECETA MÉDICA POR SEXO Y GRUPO DE EDAD</t>
  </si>
  <si>
    <t>Gráfico 8</t>
  </si>
  <si>
    <t>ENS 2017 y AIReF</t>
  </si>
  <si>
    <t>Gráfico 9</t>
  </si>
  <si>
    <t>EGS, SCS, COFOG Y AIREF</t>
  </si>
  <si>
    <t>Gráfico 10</t>
  </si>
  <si>
    <t>EVOLUCIÓN DEL RESTO DEL GASTO EN SANIDAD (%PIB)</t>
  </si>
  <si>
    <t>Gráfico 11</t>
  </si>
  <si>
    <t>PERFIL DE GASTO SANITARIO POR GÉNERO Y GRUPO DE EDAD (PER CÁPITA). AÑO 2022</t>
  </si>
  <si>
    <t>Gráfico 12</t>
  </si>
  <si>
    <t>EVOLUCIÓN DEL GASTO TOTAL EN SANIDAD (%PIB)</t>
  </si>
  <si>
    <t>IGAE Y AIREF</t>
  </si>
  <si>
    <t>EVOLUCIÓN DEL CRECIMIENTO DEL GASTO SANITARIO POR FACTORES (%VARIACIÓN)</t>
  </si>
  <si>
    <t>EGSP, IGAE, INE Y AIREF</t>
  </si>
  <si>
    <t>CRECIMIENTO DEL GASTO SANITARIO POR CCAA Y FACTORES. PROMEDIO 2016-2023 (%VARIACIÓN)</t>
  </si>
  <si>
    <t>3. GASTO EN EDUCACIÓN</t>
  </si>
  <si>
    <t>REPARTO DEL GASTO EN EDUCACIÓN. 2022</t>
  </si>
  <si>
    <t>Ministerio de Educación, Formación Profesional y Deportes</t>
  </si>
  <si>
    <t>EVOLUCIÓN DEL GASTO TOTAL EN EDUCACIÓN</t>
  </si>
  <si>
    <t>EVOLUCIÓN DEL CRECIMIENTO DEL GASTO EDUCATIVO POR FACTORES (%VARIACIÓN)</t>
  </si>
  <si>
    <t>Ministerio de Educación, Formación Profesional y Deportes, IGAE, INE Y AIREF</t>
  </si>
  <si>
    <t>CRECIMIENTO DEL GASTO EN EDUCACIÓN POR CCAA Y FACTORES . PROMEDIO 2016-2023 (%VARIACIÓN)</t>
  </si>
  <si>
    <t>4. GASTO EN CUIDADOS DE LARGA DURACIÓN</t>
  </si>
  <si>
    <t>AR2024</t>
  </si>
  <si>
    <t>IMSERSO Y CCAA</t>
  </si>
  <si>
    <t>Gráfico 25</t>
  </si>
  <si>
    <t>COSTE POR BENEFICIARIO DE LOS CUIDADOS DE LARGA DURACIÓN POR FRANJA DE EDAD Y GÉNERO. AÑO 2023</t>
  </si>
  <si>
    <t>SCS, IGAE Y AIREF</t>
  </si>
  <si>
    <t>GRÁFICO 16. DESGLOSE DEL CRECIMIENTO DEL GASTO EN EDUCACIÓN</t>
  </si>
  <si>
    <t>GRÁFICO 15. METODOLOGÍA ESTIMACIÓN GASTO EN EDUCACIÓN</t>
  </si>
  <si>
    <t>Ir a gráficos</t>
  </si>
  <si>
    <t>GRÁFICO 2. DESGLOSE DEL CRECIMIENTO DEL GASTO EN SANIDAD</t>
  </si>
  <si>
    <t>GRÁFICO 1. METODOLOGÍA DE LA ESTIMACIÓN DEL GASTO EN SANIDAD</t>
  </si>
  <si>
    <t>Promedio 2016-2023 crecimiento total gasto sanidad</t>
  </si>
  <si>
    <t>Promedio 2016-2023 crecimiento sanidad por otros factores</t>
  </si>
  <si>
    <t>Promedio 2016-2023 crecimiento sanidad por demografía</t>
  </si>
  <si>
    <t>RIO</t>
  </si>
  <si>
    <t>PVA</t>
  </si>
  <si>
    <t>NAV</t>
  </si>
  <si>
    <t>MUR</t>
  </si>
  <si>
    <t>MAD</t>
  </si>
  <si>
    <t>GAL</t>
  </si>
  <si>
    <t>EXT</t>
  </si>
  <si>
    <t>CVA</t>
  </si>
  <si>
    <t>CAT</t>
  </si>
  <si>
    <t>CLM</t>
  </si>
  <si>
    <t>CYL</t>
  </si>
  <si>
    <t>CNT</t>
  </si>
  <si>
    <t>CAN</t>
  </si>
  <si>
    <t>BAL</t>
  </si>
  <si>
    <t>AST</t>
  </si>
  <si>
    <t>ARA</t>
  </si>
  <si>
    <t>AND</t>
  </si>
  <si>
    <t>Promedio 2016-2023</t>
  </si>
  <si>
    <t>Promedio 2016-2023 crecimiento total gasto educación</t>
  </si>
  <si>
    <t>Promedio 2016-2023 crecimiento educación por otros factores</t>
  </si>
  <si>
    <t>Promedio 2016-2023 crecimiento educación por demografía</t>
  </si>
  <si>
    <t>GRÁFICO 14.</t>
  </si>
  <si>
    <t>GRÁFICO 21.</t>
  </si>
  <si>
    <t>CRECIMIENTO DEL GASTO EN EDUCACIÓN POR CCAA Y FACTORES. PROMEDIO 2016-2023 (%VARIACIÓN)</t>
  </si>
  <si>
    <t>Fuente: Ministerio de Educación, FP y Deportes, IGAE, INE y AIReF</t>
  </si>
  <si>
    <t>GRÁFICO 22. METODOLOGÍA ESTIMACIÓN GASTO EN CUIDADOS DE LARGA DURACIÓN</t>
  </si>
  <si>
    <t>Gráfico 1</t>
  </si>
  <si>
    <t>Gráfico 2</t>
  </si>
  <si>
    <t>METODOLOGÍA DE LA ESTIMACIÓN DEL GASTO EN SANIDAD</t>
  </si>
  <si>
    <t>DESGLOSE DEL CRECIMIENTO DEL GASTO EN SANIDAD</t>
  </si>
  <si>
    <t>Gráfico 15</t>
  </si>
  <si>
    <t>Gráfico 16</t>
  </si>
  <si>
    <t>METODOLOGÍA ESTIMACIÓN GASTO EN EDUCACIÓN</t>
  </si>
  <si>
    <t>DESGLOSE DEL CRECIMIENTO DEL GASTO EN EDUCACIÓN</t>
  </si>
  <si>
    <t>Gráfico 22</t>
  </si>
  <si>
    <t>METODOLOGÍA ESTIMACIÓN GASTO EN CUIDADOS DE LARGA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</si>
</sst>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#,##0.0"/>
    <numFmt numFmtId="166" formatCode="0.0%"/>
    <numFmt numFmtId="167" formatCode="_-* #,##0.00\ _€_-;\-* #,##0.00\ _€_-;_-* &quot;-&quot;??\ _€_-;_-@_-"/>
    <numFmt numFmtId="169" formatCode="#,##0.0000"/>
    <numFmt numFmtId="170" formatCode="_-* #,##0.0_-;\-* #,##0.0_-;_-* &quot;-&quot;??_-;_-@_-"/>
    <numFmt numFmtId="171" formatCode="_-* #,##0_-;\-* #,##0_-;_-* &quot;-&quot;??_-;_-@_-"/>
    <numFmt numFmtId="172" formatCode="_-* #,##0.0\ _€_-;\-* #,##0.0\ _€_-;_-* &quot;-&quot;?\ _€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color rgb="FF8C2633"/>
      <name val="Century Gothic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theme="1"/>
      <name val="Trebuchet MS"/>
      <family val="2"/>
    </font>
    <font>
      <sz val="11"/>
      <color theme="4"/>
      <name val="Century Gothic"/>
      <family val="2"/>
    </font>
    <font>
      <u/>
      <sz val="10"/>
      <color theme="10"/>
      <name val="Century Gothic"/>
      <family val="2"/>
    </font>
    <font>
      <b/>
      <sz val="10"/>
      <color theme="4"/>
      <name val="Century Gothic"/>
      <family val="2"/>
    </font>
    <font>
      <b/>
      <sz val="10"/>
      <color theme="1"/>
      <name val="Century Gothic"/>
      <family val="2"/>
    </font>
    <font>
      <sz val="9.5"/>
      <color rgb="FF000000"/>
      <name val="Arial"/>
      <family val="2"/>
    </font>
    <font>
      <b/>
      <sz val="10"/>
      <color rgb="FF000000"/>
      <name val="Century Gothic"/>
      <family val="2"/>
    </font>
    <font>
      <sz val="24"/>
      <color rgb="FF000000"/>
      <name val="Century Gothic"/>
      <family val="2"/>
    </font>
    <font>
      <sz val="24"/>
      <color rgb="FF83082A"/>
      <name val="Century Gothic"/>
      <family val="2"/>
    </font>
    <font>
      <sz val="24"/>
      <color theme="1"/>
      <name val="Century Gothic"/>
      <family val="2"/>
    </font>
    <font>
      <b/>
      <sz val="24"/>
      <color theme="4"/>
      <name val="Century Gothic"/>
      <family val="2"/>
    </font>
    <font>
      <sz val="10"/>
      <color theme="0"/>
      <name val="Century Gothic"/>
      <family val="2"/>
    </font>
    <font>
      <sz val="11"/>
      <color theme="2" tint="-0.499984740745262"/>
      <name val="Calibri"/>
      <family val="2"/>
      <scheme val="minor"/>
    </font>
    <font>
      <sz val="10"/>
      <color theme="2" tint="-0.499984740745262"/>
      <name val="Century Gothic"/>
      <family val="2"/>
    </font>
    <font>
      <b/>
      <sz val="11"/>
      <color theme="2" tint="-0.499984740745262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Arial"/>
      <family val="2"/>
    </font>
    <font>
      <sz val="11"/>
      <color indexed="8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"/>
      <name val="Century Gothic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C263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rgb="FF8C2633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1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11" fillId="0" borderId="0"/>
    <xf numFmtId="0" fontId="12" fillId="0" borderId="0"/>
    <xf numFmtId="0" fontId="1" fillId="0" borderId="0"/>
    <xf numFmtId="0" fontId="6" fillId="0" borderId="0" applyNumberForma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30" fillId="0" borderId="0"/>
  </cellStyleXfs>
  <cellXfs count="116">
    <xf numFmtId="0" fontId="0" fillId="0" borderId="0" xfId="0"/>
    <xf numFmtId="0" fontId="3" fillId="2" borderId="0" xfId="2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9" fillId="2" borderId="0" xfId="2" applyFont="1" applyFill="1" applyAlignment="1">
      <alignment vertical="center"/>
    </xf>
    <xf numFmtId="0" fontId="6" fillId="0" borderId="0" xfId="3" applyAlignment="1">
      <alignment vertical="center"/>
    </xf>
    <xf numFmtId="0" fontId="4" fillId="2" borderId="0" xfId="2" applyFont="1" applyFill="1" applyAlignment="1">
      <alignment vertical="center"/>
    </xf>
    <xf numFmtId="0" fontId="13" fillId="2" borderId="0" xfId="8" applyFont="1" applyFill="1" applyAlignment="1">
      <alignment horizontal="left"/>
    </xf>
    <xf numFmtId="0" fontId="9" fillId="2" borderId="2" xfId="2" applyFont="1" applyFill="1" applyBorder="1" applyAlignment="1">
      <alignment vertical="center"/>
    </xf>
    <xf numFmtId="0" fontId="8" fillId="2" borderId="0" xfId="2" applyFont="1" applyFill="1" applyAlignment="1">
      <alignment horizontal="left" vertical="center"/>
    </xf>
    <xf numFmtId="0" fontId="8" fillId="2" borderId="1" xfId="2" applyFont="1" applyFill="1" applyBorder="1" applyAlignment="1">
      <alignment vertical="center"/>
    </xf>
    <xf numFmtId="0" fontId="5" fillId="2" borderId="3" xfId="2" applyFont="1" applyFill="1" applyBorder="1" applyAlignment="1">
      <alignment horizontal="left" vertical="center" wrapText="1"/>
    </xf>
    <xf numFmtId="0" fontId="14" fillId="2" borderId="3" xfId="9" applyFont="1" applyFill="1" applyBorder="1" applyAlignment="1">
      <alignment horizontal="left" vertical="center"/>
    </xf>
    <xf numFmtId="0" fontId="4" fillId="2" borderId="3" xfId="9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left" vertical="center"/>
    </xf>
    <xf numFmtId="0" fontId="16" fillId="2" borderId="0" xfId="2" applyFont="1" applyFill="1" applyAlignment="1">
      <alignment horizontal="center" vertical="center"/>
    </xf>
    <xf numFmtId="0" fontId="18" fillId="2" borderId="4" xfId="10" applyFont="1" applyFill="1" applyBorder="1" applyAlignment="1">
      <alignment horizontal="center" vertical="center"/>
    </xf>
    <xf numFmtId="0" fontId="19" fillId="2" borderId="0" xfId="2" applyFont="1" applyFill="1" applyAlignment="1">
      <alignment vertical="center"/>
    </xf>
    <xf numFmtId="0" fontId="19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1" fillId="2" borderId="0" xfId="2" applyFont="1" applyFill="1" applyAlignment="1">
      <alignment horizontal="center" vertical="center"/>
    </xf>
    <xf numFmtId="0" fontId="22" fillId="2" borderId="0" xfId="2" applyFont="1" applyFill="1" applyAlignment="1">
      <alignment vertical="center"/>
    </xf>
    <xf numFmtId="0" fontId="4" fillId="2" borderId="0" xfId="0" applyFont="1" applyFill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64" fontId="4" fillId="2" borderId="0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2" fillId="0" borderId="0" xfId="0" applyFont="1"/>
    <xf numFmtId="0" fontId="23" fillId="4" borderId="0" xfId="0" applyFont="1" applyFill="1" applyAlignment="1">
      <alignment horizontal="center"/>
    </xf>
    <xf numFmtId="165" fontId="0" fillId="0" borderId="0" xfId="0" applyNumberFormat="1"/>
    <xf numFmtId="0" fontId="13" fillId="0" borderId="0" xfId="8" applyFont="1" applyAlignment="1">
      <alignment horizontal="left"/>
    </xf>
    <xf numFmtId="2" fontId="0" fillId="0" borderId="0" xfId="0" applyNumberFormat="1"/>
    <xf numFmtId="0" fontId="0" fillId="2" borderId="0" xfId="0" applyFill="1"/>
    <xf numFmtId="0" fontId="24" fillId="5" borderId="0" xfId="0" applyFont="1" applyFill="1"/>
    <xf numFmtId="164" fontId="24" fillId="5" borderId="0" xfId="0" applyNumberFormat="1" applyFont="1" applyFill="1" applyAlignment="1">
      <alignment horizontal="center"/>
    </xf>
    <xf numFmtId="164" fontId="25" fillId="5" borderId="5" xfId="1" applyNumberFormat="1" applyFont="1" applyFill="1" applyBorder="1" applyAlignment="1">
      <alignment horizontal="center"/>
    </xf>
    <xf numFmtId="165" fontId="25" fillId="5" borderId="5" xfId="1" applyNumberFormat="1" applyFont="1" applyFill="1" applyBorder="1" applyAlignment="1">
      <alignment horizontal="center"/>
    </xf>
    <xf numFmtId="0" fontId="25" fillId="5" borderId="5" xfId="0" applyFont="1" applyFill="1" applyBorder="1" applyAlignment="1">
      <alignment horizontal="left"/>
    </xf>
    <xf numFmtId="0" fontId="24" fillId="2" borderId="0" xfId="0" applyFont="1" applyFill="1"/>
    <xf numFmtId="164" fontId="25" fillId="5" borderId="0" xfId="1" applyNumberFormat="1" applyFont="1" applyFill="1" applyBorder="1" applyAlignment="1">
      <alignment horizontal="center"/>
    </xf>
    <xf numFmtId="165" fontId="25" fillId="5" borderId="0" xfId="1" applyNumberFormat="1" applyFont="1" applyFill="1" applyBorder="1" applyAlignment="1">
      <alignment horizontal="center"/>
    </xf>
    <xf numFmtId="166" fontId="25" fillId="5" borderId="0" xfId="1" applyNumberFormat="1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6" fillId="5" borderId="0" xfId="0" applyFont="1" applyFill="1"/>
    <xf numFmtId="0" fontId="2" fillId="2" borderId="0" xfId="0" applyFont="1" applyFill="1"/>
    <xf numFmtId="2" fontId="0" fillId="2" borderId="0" xfId="0" applyNumberFormat="1" applyFill="1"/>
    <xf numFmtId="167" fontId="0" fillId="2" borderId="0" xfId="0" applyNumberFormat="1" applyFill="1"/>
    <xf numFmtId="43" fontId="0" fillId="2" borderId="0" xfId="11" applyFont="1" applyFill="1" applyBorder="1"/>
    <xf numFmtId="0" fontId="0" fillId="0" borderId="0" xfId="0" applyAlignment="1">
      <alignment horizontal="center"/>
    </xf>
    <xf numFmtId="164" fontId="0" fillId="2" borderId="0" xfId="0" applyNumberFormat="1" applyFill="1"/>
    <xf numFmtId="164" fontId="27" fillId="2" borderId="0" xfId="0" applyNumberFormat="1" applyFont="1" applyFill="1"/>
    <xf numFmtId="2" fontId="27" fillId="2" borderId="0" xfId="0" applyNumberFormat="1" applyFont="1" applyFill="1"/>
    <xf numFmtId="49" fontId="0" fillId="2" borderId="0" xfId="0" applyNumberFormat="1" applyFill="1"/>
    <xf numFmtId="167" fontId="27" fillId="2" borderId="0" xfId="0" applyNumberFormat="1" applyFont="1" applyFill="1"/>
    <xf numFmtId="0" fontId="28" fillId="2" borderId="0" xfId="12" applyFill="1"/>
    <xf numFmtId="43" fontId="28" fillId="2" borderId="0" xfId="11" applyFont="1" applyFill="1"/>
    <xf numFmtId="3" fontId="4" fillId="2" borderId="4" xfId="1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3" fontId="8" fillId="2" borderId="0" xfId="14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9" fontId="0" fillId="2" borderId="0" xfId="13" applyFont="1" applyFill="1"/>
    <xf numFmtId="3" fontId="9" fillId="2" borderId="6" xfId="12" applyNumberFormat="1" applyFont="1" applyFill="1" applyBorder="1" applyAlignment="1">
      <alignment horizontal="center" vertical="center" wrapText="1"/>
    </xf>
    <xf numFmtId="3" fontId="9" fillId="2" borderId="6" xfId="14" applyNumberFormat="1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9" fillId="2" borderId="0" xfId="12" applyFont="1" applyFill="1"/>
    <xf numFmtId="3" fontId="9" fillId="2" borderId="0" xfId="14" applyNumberFormat="1" applyFont="1" applyFill="1" applyAlignment="1">
      <alignment horizontal="left"/>
    </xf>
    <xf numFmtId="169" fontId="9" fillId="2" borderId="0" xfId="14" applyNumberFormat="1" applyFont="1" applyFill="1" applyAlignment="1">
      <alignment horizontal="left"/>
    </xf>
    <xf numFmtId="3" fontId="29" fillId="2" borderId="0" xfId="14" applyNumberFormat="1" applyFont="1" applyFill="1" applyAlignment="1">
      <alignment horizontal="left"/>
    </xf>
    <xf numFmtId="169" fontId="29" fillId="2" borderId="0" xfId="14" applyNumberFormat="1" applyFont="1" applyFill="1" applyAlignment="1">
      <alignment horizontal="left"/>
    </xf>
    <xf numFmtId="170" fontId="27" fillId="2" borderId="0" xfId="11" applyNumberFormat="1" applyFont="1" applyFill="1" applyBorder="1"/>
    <xf numFmtId="170" fontId="27" fillId="2" borderId="0" xfId="0" applyNumberFormat="1" applyFont="1" applyFill="1"/>
    <xf numFmtId="0" fontId="30" fillId="2" borderId="0" xfId="15" applyFill="1"/>
    <xf numFmtId="2" fontId="35" fillId="2" borderId="0" xfId="15" applyNumberFormat="1" applyFont="1" applyFill="1"/>
    <xf numFmtId="3" fontId="0" fillId="2" borderId="0" xfId="0" applyNumberFormat="1" applyFill="1"/>
    <xf numFmtId="3" fontId="32" fillId="2" borderId="7" xfId="0" applyNumberFormat="1" applyFont="1" applyFill="1" applyBorder="1" applyAlignment="1">
      <alignment horizontal="right"/>
    </xf>
    <xf numFmtId="0" fontId="31" fillId="2" borderId="7" xfId="0" applyFont="1" applyFill="1" applyBorder="1" applyAlignment="1">
      <alignment horizontal="left" wrapText="1"/>
    </xf>
    <xf numFmtId="171" fontId="0" fillId="2" borderId="0" xfId="11" applyNumberFormat="1" applyFont="1" applyFill="1"/>
    <xf numFmtId="3" fontId="27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3" fontId="38" fillId="2" borderId="7" xfId="0" applyNumberFormat="1" applyFont="1" applyFill="1" applyBorder="1" applyAlignment="1">
      <alignment horizontal="center"/>
    </xf>
    <xf numFmtId="0" fontId="39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2" fontId="0" fillId="2" borderId="0" xfId="0" applyNumberFormat="1" applyFill="1"/>
    <xf numFmtId="166" fontId="0" fillId="2" borderId="0" xfId="1" applyNumberFormat="1" applyFont="1" applyFill="1"/>
    <xf numFmtId="166" fontId="27" fillId="2" borderId="0" xfId="1" applyNumberFormat="1" applyFont="1" applyFill="1"/>
    <xf numFmtId="43" fontId="27" fillId="2" borderId="0" xfId="11" applyFont="1" applyFill="1"/>
    <xf numFmtId="0" fontId="2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4" fillId="2" borderId="7" xfId="15" applyFont="1" applyFill="1" applyBorder="1"/>
    <xf numFmtId="0" fontId="33" fillId="2" borderId="7" xfId="15" applyFont="1" applyFill="1" applyBorder="1"/>
    <xf numFmtId="0" fontId="31" fillId="2" borderId="7" xfId="15" applyFont="1" applyFill="1" applyBorder="1"/>
    <xf numFmtId="0" fontId="31" fillId="2" borderId="7" xfId="0" applyFont="1" applyFill="1" applyBorder="1"/>
    <xf numFmtId="0" fontId="31" fillId="2" borderId="7" xfId="0" applyFont="1" applyFill="1" applyBorder="1" applyAlignment="1">
      <alignment horizontal="left" wrapText="1"/>
    </xf>
    <xf numFmtId="0" fontId="31" fillId="2" borderId="9" xfId="0" applyFont="1" applyFill="1" applyBorder="1" applyAlignment="1">
      <alignment horizontal="center" wrapText="1"/>
    </xf>
    <xf numFmtId="0" fontId="31" fillId="2" borderId="8" xfId="0" applyFont="1" applyFill="1" applyBorder="1" applyAlignment="1">
      <alignment horizontal="center" wrapText="1"/>
    </xf>
    <xf numFmtId="0" fontId="34" fillId="2" borderId="7" xfId="0" applyFont="1" applyFill="1" applyBorder="1"/>
    <xf numFmtId="0" fontId="0" fillId="0" borderId="0" xfId="0"/>
    <xf numFmtId="0" fontId="13" fillId="0" borderId="0" xfId="0" applyFont="1" applyAlignment="1">
      <alignment horizontal="left"/>
    </xf>
    <xf numFmtId="0" fontId="6" fillId="2" borderId="0" xfId="3" applyFill="1"/>
    <xf numFmtId="0" fontId="0" fillId="2" borderId="0" xfId="0" applyFill="1" applyBorder="1"/>
    <xf numFmtId="165" fontId="3" fillId="7" borderId="0" xfId="1" applyNumberFormat="1" applyFont="1" applyFill="1" applyBorder="1" applyAlignment="1">
      <alignment horizontal="center"/>
    </xf>
    <xf numFmtId="0" fontId="0" fillId="2" borderId="0" xfId="0" applyFont="1" applyFill="1" applyBorder="1"/>
    <xf numFmtId="0" fontId="16" fillId="3" borderId="0" xfId="0" applyFont="1" applyFill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9" fillId="2" borderId="0" xfId="12" applyFont="1" applyFill="1" applyBorder="1"/>
    <xf numFmtId="0" fontId="15" fillId="2" borderId="0" xfId="2" applyFont="1" applyFill="1" applyBorder="1" applyAlignment="1">
      <alignment horizontal="left" vertical="center"/>
    </xf>
    <xf numFmtId="0" fontId="4" fillId="2" borderId="0" xfId="9" applyFont="1" applyFill="1" applyBorder="1" applyAlignment="1">
      <alignment horizontal="center" vertical="center"/>
    </xf>
    <xf numFmtId="0" fontId="14" fillId="2" borderId="0" xfId="9" applyFont="1" applyFill="1" applyBorder="1" applyAlignment="1">
      <alignment horizontal="left" vertical="center"/>
    </xf>
    <xf numFmtId="0" fontId="5" fillId="2" borderId="0" xfId="2" applyFont="1" applyFill="1" applyBorder="1" applyAlignment="1">
      <alignment horizontal="left" vertical="center" wrapText="1"/>
    </xf>
    <xf numFmtId="0" fontId="6" fillId="2" borderId="0" xfId="3" applyFill="1" applyBorder="1" applyAlignment="1">
      <alignment horizontal="left" vertical="center"/>
    </xf>
    <xf numFmtId="0" fontId="34" fillId="2" borderId="7" xfId="15" applyFont="1" applyFill="1" applyBorder="1" applyAlignment="1"/>
  </cellXfs>
  <cellStyles count="16">
    <cellStyle name="Hipervínculo" xfId="3" builtinId="8"/>
    <cellStyle name="Hipervínculo 2" xfId="9" xr:uid="{2D88CF26-9B14-4A40-A943-805694E55404}"/>
    <cellStyle name="Hipervínculo 3" xfId="4" xr:uid="{2B3A865C-D2A1-4BDE-B9A3-994F746D6F43}"/>
    <cellStyle name="Millares" xfId="11" builtinId="3"/>
    <cellStyle name="Normal" xfId="0" builtinId="0"/>
    <cellStyle name="Normal 2" xfId="15" xr:uid="{C22E4C84-E690-47BF-9AB5-F88991A11102}"/>
    <cellStyle name="Normal 2 2" xfId="2" xr:uid="{F266CA25-0A81-410D-ADE1-FB2552E914E6}"/>
    <cellStyle name="Normal 2 2 2" xfId="12" xr:uid="{4DD9E431-FAFB-41E1-BE76-003B134E9E38}"/>
    <cellStyle name="Normal 2 3" xfId="8" xr:uid="{856674DD-0872-471A-8982-E7392D229626}"/>
    <cellStyle name="Normal 2 3 2 2" xfId="6" xr:uid="{55E490A7-FAFD-4BC2-B394-8E82F8E17B32}"/>
    <cellStyle name="Normal 2 5" xfId="5" xr:uid="{8CB9E1C0-18BE-4F23-B93A-79E3A39D34AD}"/>
    <cellStyle name="Normal 4 2" xfId="10" xr:uid="{282FCF74-26C6-41D8-8739-589EA3BFF1BE}"/>
    <cellStyle name="Normal 6 3 4" xfId="7" xr:uid="{06A378CA-800B-4D4E-9B51-4B80B243846B}"/>
    <cellStyle name="Normal_CCCAATerritorial_CD" xfId="14" xr:uid="{72C4DEA6-C532-4160-9786-D440A792FE83}"/>
    <cellStyle name="Porcentaje" xfId="1" builtinId="5"/>
    <cellStyle name="Porcentaje 2" xfId="13" xr:uid="{E696AFA2-8F57-4A5B-A522-A2E8CEF21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12'!$C$5</c:f>
              <c:strCache>
                <c:ptCount val="1"/>
                <c:pt idx="0">
                  <c:v>Gasto  Hospitalario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0.1"/>
                  <c:y val="0.1157407407407407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95ABA526-B077-4DB7-B795-02A56B989EDB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8E4-41AF-A637-EC94587CEA48}"/>
                </c:ext>
              </c:extLst>
            </c:dLbl>
            <c:dLbl>
              <c:idx val="46"/>
              <c:layout>
                <c:manualLayout>
                  <c:x val="-3.8888998250218715E-2"/>
                  <c:y val="0.10679717118693498"/>
                </c:manualLayout>
              </c:layout>
              <c:numFmt formatCode="#,##0.0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2138888888888895E-2"/>
                      <c:h val="0.13629629629629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8E4-41AF-A637-EC94587CEA48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12'!$C$6:$C$52</c:f>
              <c:numCache>
                <c:formatCode>_-* #,##0.0_-;\-* #,##0.0_-;_-* "-"??_-;_-@_-</c:formatCode>
                <c:ptCount val="47"/>
                <c:pt idx="0">
                  <c:v>2.8368742484372995</c:v>
                </c:pt>
                <c:pt idx="1">
                  <c:v>2.8082690359540279</c:v>
                </c:pt>
                <c:pt idx="2">
                  <c:v>2.8015882963170293</c:v>
                </c:pt>
                <c:pt idx="3">
                  <c:v>2.8042028724477484</c:v>
                </c:pt>
                <c:pt idx="4">
                  <c:v>2.8124080329705805</c:v>
                </c:pt>
                <c:pt idx="5">
                  <c:v>2.8243970921948973</c:v>
                </c:pt>
                <c:pt idx="6">
                  <c:v>2.8413040006662453</c:v>
                </c:pt>
                <c:pt idx="7">
                  <c:v>2.8681522738260914</c:v>
                </c:pt>
                <c:pt idx="8">
                  <c:v>2.8968637957020533</c:v>
                </c:pt>
                <c:pt idx="9">
                  <c:v>2.929848668356382</c:v>
                </c:pt>
                <c:pt idx="10">
                  <c:v>2.9612866829633178</c:v>
                </c:pt>
                <c:pt idx="11">
                  <c:v>2.990924658299059</c:v>
                </c:pt>
                <c:pt idx="12">
                  <c:v>3.0190992079578169</c:v>
                </c:pt>
                <c:pt idx="13">
                  <c:v>3.0466547704101177</c:v>
                </c:pt>
                <c:pt idx="14">
                  <c:v>3.0755354956767125</c:v>
                </c:pt>
                <c:pt idx="15">
                  <c:v>3.1052699687127436</c:v>
                </c:pt>
                <c:pt idx="16">
                  <c:v>3.1335778349752483</c:v>
                </c:pt>
                <c:pt idx="17">
                  <c:v>3.1600436673380927</c:v>
                </c:pt>
                <c:pt idx="18">
                  <c:v>3.1870409493898535</c:v>
                </c:pt>
                <c:pt idx="19">
                  <c:v>3.2139401714943343</c:v>
                </c:pt>
                <c:pt idx="20">
                  <c:v>3.2389829961690273</c:v>
                </c:pt>
                <c:pt idx="21">
                  <c:v>3.2625682207778151</c:v>
                </c:pt>
                <c:pt idx="22">
                  <c:v>3.2846925602588324</c:v>
                </c:pt>
                <c:pt idx="23">
                  <c:v>3.3053502044188052</c:v>
                </c:pt>
                <c:pt idx="24">
                  <c:v>3.324434547374044</c:v>
                </c:pt>
                <c:pt idx="25">
                  <c:v>3.3419799382786048</c:v>
                </c:pt>
                <c:pt idx="26">
                  <c:v>3.3581919631672283</c:v>
                </c:pt>
                <c:pt idx="27">
                  <c:v>3.3723879328195205</c:v>
                </c:pt>
                <c:pt idx="28">
                  <c:v>3.3841643802458381</c:v>
                </c:pt>
                <c:pt idx="29">
                  <c:v>3.3945125917417123</c:v>
                </c:pt>
                <c:pt idx="30">
                  <c:v>3.4030131324167181</c:v>
                </c:pt>
                <c:pt idx="31">
                  <c:v>3.4107350136288606</c:v>
                </c:pt>
                <c:pt idx="32">
                  <c:v>3.4169477039112239</c:v>
                </c:pt>
                <c:pt idx="33">
                  <c:v>3.421858947910819</c:v>
                </c:pt>
                <c:pt idx="34">
                  <c:v>3.4252268273204396</c:v>
                </c:pt>
                <c:pt idx="35">
                  <c:v>3.4276237676514869</c:v>
                </c:pt>
                <c:pt idx="36">
                  <c:v>3.4291265572833423</c:v>
                </c:pt>
                <c:pt idx="37">
                  <c:v>3.4294584059416895</c:v>
                </c:pt>
                <c:pt idx="38">
                  <c:v>3.4286406786922252</c:v>
                </c:pt>
                <c:pt idx="39">
                  <c:v>3.4266092388579632</c:v>
                </c:pt>
                <c:pt idx="40">
                  <c:v>3.4239188965725647</c:v>
                </c:pt>
                <c:pt idx="41">
                  <c:v>3.4199462755361663</c:v>
                </c:pt>
                <c:pt idx="42">
                  <c:v>3.4156186911819435</c:v>
                </c:pt>
                <c:pt idx="43">
                  <c:v>3.4108013514137743</c:v>
                </c:pt>
                <c:pt idx="44">
                  <c:v>3.4049987080363411</c:v>
                </c:pt>
                <c:pt idx="45">
                  <c:v>3.3981931840037429</c:v>
                </c:pt>
                <c:pt idx="46">
                  <c:v>3.3908703109022311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4-41AF-A637-EC94587CE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12'!$D$5</c:f>
              <c:strCache>
                <c:ptCount val="1"/>
                <c:pt idx="0">
                  <c:v>Gasto Atención Especializada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8"/>
              <c:layout>
                <c:manualLayout>
                  <c:x val="-7.2222222222222215E-2"/>
                  <c:y val="0.106481481481481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0F21C233-406E-4C5F-8346-08FB600B6686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FE6-434F-8C36-ACA2E129300B}"/>
                </c:ext>
              </c:extLst>
            </c:dLbl>
            <c:dLbl>
              <c:idx val="46"/>
              <c:layout>
                <c:manualLayout>
                  <c:x val="-3.9662727883770017E-2"/>
                  <c:y val="0.1411077301515042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E6-434F-8C36-ACA2E129300B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12'!$D$6:$D$52</c:f>
              <c:numCache>
                <c:formatCode>_-* #,##0.0_-;\-* #,##0.0_-;_-* "-"??_-;_-@_-</c:formatCode>
                <c:ptCount val="47"/>
                <c:pt idx="0">
                  <c:v>1.2696447181325574</c:v>
                </c:pt>
                <c:pt idx="1">
                  <c:v>1.2571613169832612</c:v>
                </c:pt>
                <c:pt idx="2">
                  <c:v>1.2539284101256549</c:v>
                </c:pt>
                <c:pt idx="3">
                  <c:v>1.2544818311575454</c:v>
                </c:pt>
                <c:pt idx="4">
                  <c:v>1.257594309406125</c:v>
                </c:pt>
                <c:pt idx="5">
                  <c:v>1.2627168138103395</c:v>
                </c:pt>
                <c:pt idx="6">
                  <c:v>1.2698479148423516</c:v>
                </c:pt>
                <c:pt idx="7">
                  <c:v>1.2804496471567361</c:v>
                </c:pt>
                <c:pt idx="8">
                  <c:v>1.2928935260126642</c:v>
                </c:pt>
                <c:pt idx="9">
                  <c:v>1.3065111935303371</c:v>
                </c:pt>
                <c:pt idx="10">
                  <c:v>1.3193984544780664</c:v>
                </c:pt>
                <c:pt idx="11">
                  <c:v>1.3315336442401502</c:v>
                </c:pt>
                <c:pt idx="12">
                  <c:v>1.3432063554378628</c:v>
                </c:pt>
                <c:pt idx="13">
                  <c:v>1.3543085532271888</c:v>
                </c:pt>
                <c:pt idx="14">
                  <c:v>1.365504483467888</c:v>
                </c:pt>
                <c:pt idx="15">
                  <c:v>1.376556445766087</c:v>
                </c:pt>
                <c:pt idx="16">
                  <c:v>1.3866103014628697</c:v>
                </c:pt>
                <c:pt idx="17">
                  <c:v>1.3962424978085985</c:v>
                </c:pt>
                <c:pt idx="18">
                  <c:v>1.4060055397472384</c:v>
                </c:pt>
                <c:pt idx="19">
                  <c:v>1.415500780892994</c:v>
                </c:pt>
                <c:pt idx="20">
                  <c:v>1.4245213882635521</c:v>
                </c:pt>
                <c:pt idx="21">
                  <c:v>1.4326935384729664</c:v>
                </c:pt>
                <c:pt idx="22">
                  <c:v>1.4403252490394158</c:v>
                </c:pt>
                <c:pt idx="23">
                  <c:v>1.4474908469768681</c:v>
                </c:pt>
                <c:pt idx="24">
                  <c:v>1.4540472478967621</c:v>
                </c:pt>
                <c:pt idx="25">
                  <c:v>1.4601771108740027</c:v>
                </c:pt>
                <c:pt idx="26">
                  <c:v>1.4660304141463181</c:v>
                </c:pt>
                <c:pt idx="27">
                  <c:v>1.4714295212558308</c:v>
                </c:pt>
                <c:pt idx="28">
                  <c:v>1.4760664122887575</c:v>
                </c:pt>
                <c:pt idx="29">
                  <c:v>1.4805768337333574</c:v>
                </c:pt>
                <c:pt idx="30">
                  <c:v>1.48443942528633</c:v>
                </c:pt>
                <c:pt idx="31">
                  <c:v>1.4880843720746242</c:v>
                </c:pt>
                <c:pt idx="32">
                  <c:v>1.4913516898527805</c:v>
                </c:pt>
                <c:pt idx="33">
                  <c:v>1.4945688157431971</c:v>
                </c:pt>
                <c:pt idx="34">
                  <c:v>1.4974856271749324</c:v>
                </c:pt>
                <c:pt idx="35">
                  <c:v>1.5006720811164727</c:v>
                </c:pt>
                <c:pt idx="36">
                  <c:v>1.5041193007162053</c:v>
                </c:pt>
                <c:pt idx="37">
                  <c:v>1.5075504109815119</c:v>
                </c:pt>
                <c:pt idx="38">
                  <c:v>1.5108182598073014</c:v>
                </c:pt>
                <c:pt idx="39">
                  <c:v>1.5138150843013567</c:v>
                </c:pt>
                <c:pt idx="40">
                  <c:v>1.5168441574666653</c:v>
                </c:pt>
                <c:pt idx="41">
                  <c:v>1.5194913952966755</c:v>
                </c:pt>
                <c:pt idx="42">
                  <c:v>1.5220325075377983</c:v>
                </c:pt>
                <c:pt idx="43">
                  <c:v>1.5244724327114871</c:v>
                </c:pt>
                <c:pt idx="44">
                  <c:v>1.5265927565535924</c:v>
                </c:pt>
                <c:pt idx="45">
                  <c:v>1.5283223101619585</c:v>
                </c:pt>
                <c:pt idx="46">
                  <c:v>1.5297880395214631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6-434F-8C36-ACA2E1293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1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12'!$E$5</c:f>
              <c:strCache>
                <c:ptCount val="1"/>
                <c:pt idx="0">
                  <c:v>Gasto Atención Primaria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8"/>
              <c:layout>
                <c:manualLayout>
                  <c:x val="-8.3333333333333332E-3"/>
                  <c:y val="8.79629629629629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6517663E-1FC8-4339-B779-CB3F35679E50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5C6-4CDB-89FE-CBABC65DF3C1}"/>
                </c:ext>
              </c:extLst>
            </c:dLbl>
            <c:dLbl>
              <c:idx val="46"/>
              <c:layout>
                <c:manualLayout>
                  <c:x val="-4.9913423992803525E-2"/>
                  <c:y val="0.147048745593052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C6-4CDB-89FE-CBABC65DF3C1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12'!$E$6:$E$52</c:f>
              <c:numCache>
                <c:formatCode>_-* #,##0.0_-;\-* #,##0.0_-;_-* "-"??_-;_-@_-</c:formatCode>
                <c:ptCount val="47"/>
                <c:pt idx="0">
                  <c:v>0.91788706403570997</c:v>
                </c:pt>
                <c:pt idx="1">
                  <c:v>0.91014554193476271</c:v>
                </c:pt>
                <c:pt idx="2">
                  <c:v>0.90768491727203315</c:v>
                </c:pt>
                <c:pt idx="3">
                  <c:v>0.90920815384580378</c:v>
                </c:pt>
                <c:pt idx="4">
                  <c:v>0.91242731433630209</c:v>
                </c:pt>
                <c:pt idx="5">
                  <c:v>0.91683096996940328</c:v>
                </c:pt>
                <c:pt idx="6">
                  <c:v>0.9228747161499733</c:v>
                </c:pt>
                <c:pt idx="7">
                  <c:v>0.93101180504153058</c:v>
                </c:pt>
                <c:pt idx="8">
                  <c:v>0.94091078928060923</c:v>
                </c:pt>
                <c:pt idx="9">
                  <c:v>0.95189159982324634</c:v>
                </c:pt>
                <c:pt idx="10">
                  <c:v>0.96189593520885308</c:v>
                </c:pt>
                <c:pt idx="11">
                  <c:v>0.97171315586626827</c:v>
                </c:pt>
                <c:pt idx="12">
                  <c:v>0.98125067700052426</c:v>
                </c:pt>
                <c:pt idx="13">
                  <c:v>0.99075074708979172</c:v>
                </c:pt>
                <c:pt idx="14">
                  <c:v>1.0005796324825222</c:v>
                </c:pt>
                <c:pt idx="15">
                  <c:v>1.0104313007752688</c:v>
                </c:pt>
                <c:pt idx="16">
                  <c:v>1.019811269094971</c:v>
                </c:pt>
                <c:pt idx="17">
                  <c:v>1.0289376591099373</c:v>
                </c:pt>
                <c:pt idx="18">
                  <c:v>1.0380266882515725</c:v>
                </c:pt>
                <c:pt idx="19">
                  <c:v>1.0465400357997026</c:v>
                </c:pt>
                <c:pt idx="20">
                  <c:v>1.0546883435571948</c:v>
                </c:pt>
                <c:pt idx="21">
                  <c:v>1.0626431043820885</c:v>
                </c:pt>
                <c:pt idx="22">
                  <c:v>1.0699094183654656</c:v>
                </c:pt>
                <c:pt idx="23">
                  <c:v>1.0767505211165505</c:v>
                </c:pt>
                <c:pt idx="24">
                  <c:v>1.0828312035249827</c:v>
                </c:pt>
                <c:pt idx="25">
                  <c:v>1.0882495403360786</c:v>
                </c:pt>
                <c:pt idx="26">
                  <c:v>1.0927046483510341</c:v>
                </c:pt>
                <c:pt idx="27">
                  <c:v>1.096714792139277</c:v>
                </c:pt>
                <c:pt idx="28">
                  <c:v>1.1000280746757878</c:v>
                </c:pt>
                <c:pt idx="29">
                  <c:v>1.1028432934089858</c:v>
                </c:pt>
                <c:pt idx="30">
                  <c:v>1.1051311806772774</c:v>
                </c:pt>
                <c:pt idx="31">
                  <c:v>1.1072912575354901</c:v>
                </c:pt>
                <c:pt idx="32">
                  <c:v>1.1091489323285546</c:v>
                </c:pt>
                <c:pt idx="33">
                  <c:v>1.1107953230836412</c:v>
                </c:pt>
                <c:pt idx="34">
                  <c:v>1.111862888774225</c:v>
                </c:pt>
                <c:pt idx="35">
                  <c:v>1.1128444411677048</c:v>
                </c:pt>
                <c:pt idx="36">
                  <c:v>1.1132379709761677</c:v>
                </c:pt>
                <c:pt idx="37">
                  <c:v>1.113333506604671</c:v>
                </c:pt>
                <c:pt idx="38">
                  <c:v>1.1129521986494795</c:v>
                </c:pt>
                <c:pt idx="39">
                  <c:v>1.1123689850020457</c:v>
                </c:pt>
                <c:pt idx="40">
                  <c:v>1.11164127427513</c:v>
                </c:pt>
                <c:pt idx="41">
                  <c:v>1.1109370595204815</c:v>
                </c:pt>
                <c:pt idx="42">
                  <c:v>1.1103533856893628</c:v>
                </c:pt>
                <c:pt idx="43">
                  <c:v>1.110052276592284</c:v>
                </c:pt>
                <c:pt idx="44">
                  <c:v>1.1098995245154273</c:v>
                </c:pt>
                <c:pt idx="45">
                  <c:v>1.1099838267848214</c:v>
                </c:pt>
                <c:pt idx="46">
                  <c:v>1.1103168742338689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6-4CDB-89FE-CBABC65DF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0.8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12'!$F$5</c:f>
              <c:strCache>
                <c:ptCount val="1"/>
                <c:pt idx="0">
                  <c:v>Gasto en Farmacia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6.9444444444444448E-2"/>
                  <c:y val="0.107499999999999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95BEEE7A-9F06-470E-8E7B-33110AB45B41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ED3-4B2F-9882-2BDE0E31A53D}"/>
                </c:ext>
              </c:extLst>
            </c:dLbl>
            <c:dLbl>
              <c:idx val="46"/>
              <c:layout>
                <c:manualLayout>
                  <c:x val="-3.4537379829253263E-2"/>
                  <c:y val="0.19986893628096092"/>
                </c:manualLayout>
              </c:layout>
              <c:numFmt formatCode="#,##0.0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1646794508451886E-2"/>
                      <c:h val="0.154672443152100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ED3-4B2F-9882-2BDE0E31A53D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12'!$F$6:$F$52</c:f>
              <c:numCache>
                <c:formatCode>_-* #,##0.0_-;\-* #,##0.0_-;_-* "-"??_-;_-@_-</c:formatCode>
                <c:ptCount val="47"/>
                <c:pt idx="0">
                  <c:v>1.0164963829855971</c:v>
                </c:pt>
                <c:pt idx="1">
                  <c:v>1.0211566201224</c:v>
                </c:pt>
                <c:pt idx="2">
                  <c:v>1.0335723716307077</c:v>
                </c:pt>
                <c:pt idx="3">
                  <c:v>1.0500830959498046</c:v>
                </c:pt>
                <c:pt idx="4">
                  <c:v>1.0691127711763484</c:v>
                </c:pt>
                <c:pt idx="5">
                  <c:v>1.0901440726252329</c:v>
                </c:pt>
                <c:pt idx="6">
                  <c:v>1.115052154481889</c:v>
                </c:pt>
                <c:pt idx="7">
                  <c:v>1.1404182753117051</c:v>
                </c:pt>
                <c:pt idx="8">
                  <c:v>1.1683789435037208</c:v>
                </c:pt>
                <c:pt idx="9">
                  <c:v>1.1981744304128226</c:v>
                </c:pt>
                <c:pt idx="10">
                  <c:v>1.225303015460989</c:v>
                </c:pt>
                <c:pt idx="11">
                  <c:v>1.2521687540384172</c:v>
                </c:pt>
                <c:pt idx="12">
                  <c:v>1.2789196515213748</c:v>
                </c:pt>
                <c:pt idx="13">
                  <c:v>1.3063913035308929</c:v>
                </c:pt>
                <c:pt idx="14">
                  <c:v>1.3340600493527066</c:v>
                </c:pt>
                <c:pt idx="15">
                  <c:v>1.3613170438790669</c:v>
                </c:pt>
                <c:pt idx="16">
                  <c:v>1.3884108116718263</c:v>
                </c:pt>
                <c:pt idx="17">
                  <c:v>1.4174000644086755</c:v>
                </c:pt>
                <c:pt idx="18">
                  <c:v>1.4452149746283423</c:v>
                </c:pt>
                <c:pt idx="19">
                  <c:v>1.4713362203052021</c:v>
                </c:pt>
                <c:pt idx="20">
                  <c:v>1.4972204783566225</c:v>
                </c:pt>
                <c:pt idx="21">
                  <c:v>1.5205699199628846</c:v>
                </c:pt>
                <c:pt idx="22">
                  <c:v>1.5416446323271642</c:v>
                </c:pt>
                <c:pt idx="23">
                  <c:v>1.5595307875644335</c:v>
                </c:pt>
                <c:pt idx="24">
                  <c:v>1.5747039565307424</c:v>
                </c:pt>
                <c:pt idx="25">
                  <c:v>1.5871946576132439</c:v>
                </c:pt>
                <c:pt idx="26">
                  <c:v>1.5961959847952043</c:v>
                </c:pt>
                <c:pt idx="27">
                  <c:v>1.6029385187386107</c:v>
                </c:pt>
                <c:pt idx="28">
                  <c:v>1.6078176291954778</c:v>
                </c:pt>
                <c:pt idx="29">
                  <c:v>1.6116419883380135</c:v>
                </c:pt>
                <c:pt idx="30">
                  <c:v>1.6143597271050876</c:v>
                </c:pt>
                <c:pt idx="31">
                  <c:v>1.6164159005276617</c:v>
                </c:pt>
                <c:pt idx="32">
                  <c:v>1.618006370842463</c:v>
                </c:pt>
                <c:pt idx="33">
                  <c:v>1.6191462481466536</c:v>
                </c:pt>
                <c:pt idx="34">
                  <c:v>1.620020497211859</c:v>
                </c:pt>
                <c:pt idx="35">
                  <c:v>1.6199375251865646</c:v>
                </c:pt>
                <c:pt idx="36">
                  <c:v>1.6178061001492874</c:v>
                </c:pt>
                <c:pt idx="37">
                  <c:v>1.6148115578868718</c:v>
                </c:pt>
                <c:pt idx="38">
                  <c:v>1.6106449983061826</c:v>
                </c:pt>
                <c:pt idx="39">
                  <c:v>1.6066360781491487</c:v>
                </c:pt>
                <c:pt idx="40">
                  <c:v>1.6022279038720546</c:v>
                </c:pt>
                <c:pt idx="41">
                  <c:v>1.5993410128902668</c:v>
                </c:pt>
                <c:pt idx="42">
                  <c:v>1.5969855434679587</c:v>
                </c:pt>
                <c:pt idx="43">
                  <c:v>1.5950997352498246</c:v>
                </c:pt>
                <c:pt idx="44">
                  <c:v>1.594231407296633</c:v>
                </c:pt>
                <c:pt idx="45">
                  <c:v>1.5948705732209043</c:v>
                </c:pt>
                <c:pt idx="46">
                  <c:v>1.5969709672645844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3-4B2F-9882-2BDE0E31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0.8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12'!$G$5</c:f>
              <c:strCache>
                <c:ptCount val="1"/>
                <c:pt idx="0">
                  <c:v>Resto del gasto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7.4999999999999997E-2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091388FC-41FE-4974-A97D-6112C6B1C139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C2A-4510-B276-08B42234745E}"/>
                </c:ext>
              </c:extLst>
            </c:dLbl>
            <c:dLbl>
              <c:idx val="46"/>
              <c:layout>
                <c:manualLayout>
                  <c:x val="-6.528946815635378E-2"/>
                  <c:y val="0.14965066437754418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2A-4510-B276-08B42234745E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12'!$G$6:$G$52</c:f>
              <c:numCache>
                <c:formatCode>_-* #,##0.0_-;\-* #,##0.0_-;_-* "-"??_-;_-@_-</c:formatCode>
                <c:ptCount val="47"/>
                <c:pt idx="0">
                  <c:v>0.47411584327585937</c:v>
                </c:pt>
                <c:pt idx="1">
                  <c:v>0.46322921718237237</c:v>
                </c:pt>
                <c:pt idx="2">
                  <c:v>0.45837389734463152</c:v>
                </c:pt>
                <c:pt idx="3">
                  <c:v>0.45565907160355174</c:v>
                </c:pt>
                <c:pt idx="4">
                  <c:v>0.45402640304532982</c:v>
                </c:pt>
                <c:pt idx="5">
                  <c:v>0.45295794880452211</c:v>
                </c:pt>
                <c:pt idx="6">
                  <c:v>0.45290555472533395</c:v>
                </c:pt>
                <c:pt idx="7">
                  <c:v>0.45429129465135565</c:v>
                </c:pt>
                <c:pt idx="8">
                  <c:v>0.45626696372032177</c:v>
                </c:pt>
                <c:pt idx="9">
                  <c:v>0.45872144486446204</c:v>
                </c:pt>
                <c:pt idx="10">
                  <c:v>0.4607696408491494</c:v>
                </c:pt>
                <c:pt idx="11">
                  <c:v>0.46264361293697143</c:v>
                </c:pt>
                <c:pt idx="12">
                  <c:v>0.46430204049024743</c:v>
                </c:pt>
                <c:pt idx="13">
                  <c:v>0.46596806697969512</c:v>
                </c:pt>
                <c:pt idx="14">
                  <c:v>0.46773596169301646</c:v>
                </c:pt>
                <c:pt idx="15">
                  <c:v>0.46962015327971696</c:v>
                </c:pt>
                <c:pt idx="16">
                  <c:v>0.47132701299652163</c:v>
                </c:pt>
                <c:pt idx="17">
                  <c:v>0.47290260605289564</c:v>
                </c:pt>
                <c:pt idx="18">
                  <c:v>0.47469381429453961</c:v>
                </c:pt>
                <c:pt idx="19">
                  <c:v>0.47643579324992064</c:v>
                </c:pt>
                <c:pt idx="20">
                  <c:v>0.47810687131289348</c:v>
                </c:pt>
                <c:pt idx="21">
                  <c:v>0.47965296831834714</c:v>
                </c:pt>
                <c:pt idx="22">
                  <c:v>0.48119695732971657</c:v>
                </c:pt>
                <c:pt idx="23">
                  <c:v>0.48268093388363043</c:v>
                </c:pt>
                <c:pt idx="24">
                  <c:v>0.48401634995121051</c:v>
                </c:pt>
                <c:pt idx="25">
                  <c:v>0.48534447277565568</c:v>
                </c:pt>
                <c:pt idx="26">
                  <c:v>0.48655194359394055</c:v>
                </c:pt>
                <c:pt idx="27">
                  <c:v>0.48766826933258889</c:v>
                </c:pt>
                <c:pt idx="28">
                  <c:v>0.48857463840290088</c:v>
                </c:pt>
                <c:pt idx="29">
                  <c:v>0.48938650461860378</c:v>
                </c:pt>
                <c:pt idx="30">
                  <c:v>0.49006799345624175</c:v>
                </c:pt>
                <c:pt idx="31">
                  <c:v>0.49075601124631646</c:v>
                </c:pt>
                <c:pt idx="32">
                  <c:v>0.49134363733800257</c:v>
                </c:pt>
                <c:pt idx="33">
                  <c:v>0.49187534705854347</c:v>
                </c:pt>
                <c:pt idx="34">
                  <c:v>0.49226479770799497</c:v>
                </c:pt>
                <c:pt idx="35">
                  <c:v>0.49264123294273665</c:v>
                </c:pt>
                <c:pt idx="36">
                  <c:v>0.49299315601356924</c:v>
                </c:pt>
                <c:pt idx="37">
                  <c:v>0.4932832898083731</c:v>
                </c:pt>
                <c:pt idx="38">
                  <c:v>0.49351159518614229</c:v>
                </c:pt>
                <c:pt idx="39">
                  <c:v>0.49366656906185807</c:v>
                </c:pt>
                <c:pt idx="40">
                  <c:v>0.49380017183603608</c:v>
                </c:pt>
                <c:pt idx="41">
                  <c:v>0.49382663655082398</c:v>
                </c:pt>
                <c:pt idx="42">
                  <c:v>0.4938511377937379</c:v>
                </c:pt>
                <c:pt idx="43">
                  <c:v>0.49385486709791804</c:v>
                </c:pt>
                <c:pt idx="44">
                  <c:v>0.49375763204051271</c:v>
                </c:pt>
                <c:pt idx="45">
                  <c:v>0.49355519383312751</c:v>
                </c:pt>
                <c:pt idx="46">
                  <c:v>0.49328903713583816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A-4510-B276-08B422347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ax val="0.54"/>
          <c:min val="0.44000000000000006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3, 4, 5, 9, 10 y  12'!$H$5</c:f>
              <c:strCache>
                <c:ptCount val="1"/>
                <c:pt idx="0">
                  <c:v>Gasto en sanidad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8.8888888888888892E-2"/>
                  <c:y val="0.106481481481481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r>
                      <a:rPr lang="en-US"/>
                      <a:t>8,0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A5C-4DBF-8215-10AF861222C8}"/>
                </c:ext>
              </c:extLst>
            </c:dLbl>
            <c:dLbl>
              <c:idx val="46"/>
              <c:layout>
                <c:manualLayout>
                  <c:x val="-5.8699174181453831E-2"/>
                  <c:y val="0.14297067171239355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43-4C32-BF95-666BA9B377D4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3, 4, 5, 9, 10 y  12'!$B$6:$B$52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'Gráficos 3, 4, 5, 9, 10 y  12'!$H$6:$H$52</c:f>
              <c:numCache>
                <c:formatCode>_-* #,##0.0_-;\-* #,##0.0_-;_-* "-"??_-;_-@_-</c:formatCode>
                <c:ptCount val="47"/>
                <c:pt idx="0">
                  <c:v>6.515018256867017</c:v>
                </c:pt>
                <c:pt idx="1">
                  <c:v>6.4599617321768221</c:v>
                </c:pt>
                <c:pt idx="2">
                  <c:v>6.4551478926900687</c:v>
                </c:pt>
                <c:pt idx="3">
                  <c:v>6.4736350250044632</c:v>
                </c:pt>
                <c:pt idx="4">
                  <c:v>6.5055688309346769</c:v>
                </c:pt>
                <c:pt idx="5">
                  <c:v>6.5470468974043978</c:v>
                </c:pt>
                <c:pt idx="6">
                  <c:v>6.6019843408657994</c:v>
                </c:pt>
                <c:pt idx="7">
                  <c:v>6.674323295987417</c:v>
                </c:pt>
                <c:pt idx="8">
                  <c:v>6.7553140182193712</c:v>
                </c:pt>
                <c:pt idx="9">
                  <c:v>6.8451473369872469</c:v>
                </c:pt>
                <c:pt idx="10">
                  <c:v>6.9286537289603833</c:v>
                </c:pt>
                <c:pt idx="11">
                  <c:v>7.008983825380863</c:v>
                </c:pt>
                <c:pt idx="12">
                  <c:v>7.0867779324078226</c:v>
                </c:pt>
                <c:pt idx="13">
                  <c:v>7.1640734412376892</c:v>
                </c:pt>
                <c:pt idx="14">
                  <c:v>7.2434156226728499</c:v>
                </c:pt>
                <c:pt idx="15">
                  <c:v>7.3231949124128821</c:v>
                </c:pt>
                <c:pt idx="16">
                  <c:v>7.3997372302014321</c:v>
                </c:pt>
                <c:pt idx="17">
                  <c:v>7.4755264947182001</c:v>
                </c:pt>
                <c:pt idx="18">
                  <c:v>7.5509819663115509</c:v>
                </c:pt>
                <c:pt idx="19">
                  <c:v>7.6237530017421573</c:v>
                </c:pt>
                <c:pt idx="20">
                  <c:v>7.6935200776592882</c:v>
                </c:pt>
                <c:pt idx="21">
                  <c:v>7.7581277519140901</c:v>
                </c:pt>
                <c:pt idx="22">
                  <c:v>7.8177688173205944</c:v>
                </c:pt>
                <c:pt idx="23">
                  <c:v>7.8718032939602764</c:v>
                </c:pt>
                <c:pt idx="24">
                  <c:v>7.9200333052777321</c:v>
                </c:pt>
                <c:pt idx="25">
                  <c:v>7.9629457198775846</c:v>
                </c:pt>
                <c:pt idx="26">
                  <c:v>7.9996749540537193</c:v>
                </c:pt>
                <c:pt idx="27">
                  <c:v>8.0311390342858413</c:v>
                </c:pt>
                <c:pt idx="28">
                  <c:v>8.0566511348087584</c:v>
                </c:pt>
                <c:pt idx="29">
                  <c:v>8.0789612118406815</c:v>
                </c:pt>
                <c:pt idx="30">
                  <c:v>8.0970114589416458</c:v>
                </c:pt>
                <c:pt idx="31">
                  <c:v>8.1132825550129386</c:v>
                </c:pt>
                <c:pt idx="32">
                  <c:v>8.1267983342730368</c:v>
                </c:pt>
                <c:pt idx="33">
                  <c:v>8.1382446819428562</c:v>
                </c:pt>
                <c:pt idx="34">
                  <c:v>8.1468606381894659</c:v>
                </c:pt>
                <c:pt idx="35">
                  <c:v>8.1537190480649517</c:v>
                </c:pt>
                <c:pt idx="36">
                  <c:v>8.1572830851385802</c:v>
                </c:pt>
                <c:pt idx="37">
                  <c:v>8.1584371712231132</c:v>
                </c:pt>
                <c:pt idx="38">
                  <c:v>8.1565677306413438</c:v>
                </c:pt>
                <c:pt idx="39">
                  <c:v>8.1530959553723683</c:v>
                </c:pt>
                <c:pt idx="40">
                  <c:v>8.1484324040224543</c:v>
                </c:pt>
                <c:pt idx="41">
                  <c:v>8.1435423797944217</c:v>
                </c:pt>
                <c:pt idx="42">
                  <c:v>8.1388412656707896</c:v>
                </c:pt>
                <c:pt idx="43">
                  <c:v>8.1342806630652866</c:v>
                </c:pt>
                <c:pt idx="44">
                  <c:v>8.1294800284425222</c:v>
                </c:pt>
                <c:pt idx="45">
                  <c:v>8.1249250880045523</c:v>
                </c:pt>
                <c:pt idx="46">
                  <c:v>8.1212352290579872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C-4DBF-8215-10AF8612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6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6 y 7'!$C$5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'Gráficos 6 y 7'!$B$6:$B$13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'Gráficos 6 y 7'!$C$6:$C$13</c:f>
              <c:numCache>
                <c:formatCode>0.0</c:formatCode>
                <c:ptCount val="8"/>
                <c:pt idx="0">
                  <c:v>4.6264131876460555</c:v>
                </c:pt>
                <c:pt idx="1">
                  <c:v>5.7790690330322745</c:v>
                </c:pt>
                <c:pt idx="2">
                  <c:v>10.677066885618643</c:v>
                </c:pt>
                <c:pt idx="3">
                  <c:v>9.7044148297858897</c:v>
                </c:pt>
                <c:pt idx="4">
                  <c:v>7.7970062527632162</c:v>
                </c:pt>
                <c:pt idx="5">
                  <c:v>5.5738015537169208</c:v>
                </c:pt>
                <c:pt idx="6">
                  <c:v>3.3158592812480263</c:v>
                </c:pt>
                <c:pt idx="7">
                  <c:v>1.0894966209814945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A-47BF-B1D0-258DC0A46B28}"/>
            </c:ext>
          </c:extLst>
        </c:ser>
        <c:ser>
          <c:idx val="1"/>
          <c:order val="1"/>
          <c:tx>
            <c:strRef>
              <c:f>'Gráficos 6 y 7'!$D$5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'Gráficos 6 y 7'!$B$6:$B$13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'Gráficos 6 y 7'!$D$6:$D$13</c:f>
              <c:numCache>
                <c:formatCode>0.0</c:formatCode>
                <c:ptCount val="8"/>
                <c:pt idx="0">
                  <c:v>4.2316680351165283</c:v>
                </c:pt>
                <c:pt idx="1">
                  <c:v>6.1896039916629819</c:v>
                </c:pt>
                <c:pt idx="2">
                  <c:v>10.626539506094865</c:v>
                </c:pt>
                <c:pt idx="3">
                  <c:v>9.6665192951430559</c:v>
                </c:pt>
                <c:pt idx="4">
                  <c:v>8.1949093665129791</c:v>
                </c:pt>
                <c:pt idx="5">
                  <c:v>6.5243478810080218</c:v>
                </c:pt>
                <c:pt idx="6">
                  <c:v>5.175898439967157</c:v>
                </c:pt>
                <c:pt idx="7">
                  <c:v>0.8273858397018885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A-47BF-B1D0-258DC0A46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817216"/>
        <c:axId val="1407793088"/>
      </c:barChart>
      <c:catAx>
        <c:axId val="14078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793088"/>
        <c:crosses val="autoZero"/>
        <c:auto val="1"/>
        <c:lblAlgn val="ctr"/>
        <c:lblOffset val="100"/>
        <c:noMultiLvlLbl val="0"/>
      </c:catAx>
      <c:valAx>
        <c:axId val="140779308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8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6 y 7'!$C$5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'Gráficos 6 y 7'!$B$6:$B$13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'Gráficos 6 y 7'!$G$6:$G$13</c:f>
              <c:numCache>
                <c:formatCode>0.00</c:formatCode>
                <c:ptCount val="8"/>
                <c:pt idx="0">
                  <c:v>3.7922605938868856</c:v>
                </c:pt>
                <c:pt idx="1">
                  <c:v>4.4989230657534911</c:v>
                </c:pt>
                <c:pt idx="2">
                  <c:v>8.8163403596234353</c:v>
                </c:pt>
                <c:pt idx="3">
                  <c:v>8.9397642845042462</c:v>
                </c:pt>
                <c:pt idx="4">
                  <c:v>8.4654292006485807</c:v>
                </c:pt>
                <c:pt idx="5">
                  <c:v>7.1900486435468647</c:v>
                </c:pt>
                <c:pt idx="6">
                  <c:v>4.5207037583795167</c:v>
                </c:pt>
                <c:pt idx="7">
                  <c:v>1.4907674064035237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9-4586-A761-0A473A0A6D90}"/>
            </c:ext>
          </c:extLst>
        </c:ser>
        <c:ser>
          <c:idx val="1"/>
          <c:order val="1"/>
          <c:tx>
            <c:strRef>
              <c:f>'Gráficos 6 y 7'!$D$5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'Gráficos 6 y 7'!$B$6:$B$13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'Gráficos 6 y 7'!$H$6:$H$13</c:f>
              <c:numCache>
                <c:formatCode>0.00</c:formatCode>
                <c:ptCount val="8"/>
                <c:pt idx="0">
                  <c:v>3.3953679727015316</c:v>
                </c:pt>
                <c:pt idx="1">
                  <c:v>5.2007453837032012</c:v>
                </c:pt>
                <c:pt idx="2">
                  <c:v>9.1769318264320798</c:v>
                </c:pt>
                <c:pt idx="3">
                  <c:v>9.0026862854238754</c:v>
                </c:pt>
                <c:pt idx="4">
                  <c:v>8.9905859006316398</c:v>
                </c:pt>
                <c:pt idx="5">
                  <c:v>8.2064809660947216</c:v>
                </c:pt>
                <c:pt idx="6">
                  <c:v>7.129546719585683</c:v>
                </c:pt>
                <c:pt idx="7">
                  <c:v>1.1834176326807193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9-4586-A761-0A473A0A6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817216"/>
        <c:axId val="1407793088"/>
      </c:barChart>
      <c:catAx>
        <c:axId val="14078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793088"/>
        <c:crosses val="autoZero"/>
        <c:auto val="1"/>
        <c:lblAlgn val="ctr"/>
        <c:lblOffset val="100"/>
        <c:noMultiLvlLbl val="0"/>
      </c:catAx>
      <c:valAx>
        <c:axId val="14077930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8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8'!$E$4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8'!$D$5:$D$12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 8'!$E$5:$E$12</c:f>
              <c:numCache>
                <c:formatCode>_-* #,##0.00\ _€_-;\-* #,##0.00\ _€_-;_-* "-"??\ _€_-;_-@_-</c:formatCode>
                <c:ptCount val="8"/>
                <c:pt idx="0">
                  <c:v>376.59486085073468</c:v>
                </c:pt>
                <c:pt idx="1">
                  <c:v>385.75466241713127</c:v>
                </c:pt>
                <c:pt idx="2">
                  <c:v>466.30259302147482</c:v>
                </c:pt>
                <c:pt idx="3">
                  <c:v>556.94293928681032</c:v>
                </c:pt>
                <c:pt idx="4">
                  <c:v>468.24131676916528</c:v>
                </c:pt>
                <c:pt idx="5">
                  <c:v>2477.067095235529</c:v>
                </c:pt>
                <c:pt idx="6">
                  <c:v>1511.5595568129991</c:v>
                </c:pt>
                <c:pt idx="7">
                  <c:v>569.02531929498514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5-428E-85B7-8E2F28D919EA}"/>
            </c:ext>
          </c:extLst>
        </c:ser>
        <c:ser>
          <c:idx val="1"/>
          <c:order val="1"/>
          <c:tx>
            <c:strRef>
              <c:f>'Gráfico 8'!$F$4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8'!$D$5:$D$12</c:f>
              <c:strCache>
                <c:ptCount val="8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65-74</c:v>
                </c:pt>
                <c:pt idx="6">
                  <c:v>75-84</c:v>
                </c:pt>
                <c:pt idx="7">
                  <c:v>85+</c:v>
                </c:pt>
              </c:strCache>
            </c:strRef>
          </c:cat>
          <c:val>
            <c:numRef>
              <c:f>'Gráfico 8'!$F$5:$F$12</c:f>
              <c:numCache>
                <c:formatCode>_-* #,##0.00\ _€_-;\-* #,##0.00\ _€_-;_-* "-"??\ _€_-;_-@_-</c:formatCode>
                <c:ptCount val="8"/>
                <c:pt idx="0">
                  <c:v>353.85480610569255</c:v>
                </c:pt>
                <c:pt idx="1">
                  <c:v>374.53851637021842</c:v>
                </c:pt>
                <c:pt idx="2">
                  <c:v>467.25163225982595</c:v>
                </c:pt>
                <c:pt idx="3">
                  <c:v>551.94635487791481</c:v>
                </c:pt>
                <c:pt idx="4">
                  <c:v>489.171821778425</c:v>
                </c:pt>
                <c:pt idx="5">
                  <c:v>2796.1218741355469</c:v>
                </c:pt>
                <c:pt idx="6">
                  <c:v>1991.5254114587924</c:v>
                </c:pt>
                <c:pt idx="7">
                  <c:v>1113.5867277817545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5-428E-85B7-8E2F28D91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786016"/>
        <c:axId val="1407791840"/>
      </c:barChart>
      <c:catAx>
        <c:axId val="140778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791840"/>
        <c:crosses val="autoZero"/>
        <c:auto val="1"/>
        <c:lblAlgn val="ctr"/>
        <c:lblOffset val="100"/>
        <c:noMultiLvlLbl val="0"/>
      </c:catAx>
      <c:valAx>
        <c:axId val="14077918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077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937263141735988E-2"/>
          <c:y val="2.6840277777777779E-2"/>
          <c:w val="0.89496631671041116"/>
          <c:h val="0.71785979877515316"/>
        </c:manualLayout>
      </c:layout>
      <c:lineChart>
        <c:grouping val="standard"/>
        <c:varyColors val="0"/>
        <c:ser>
          <c:idx val="0"/>
          <c:order val="0"/>
          <c:tx>
            <c:strRef>
              <c:f>'Gráfico 11'!$C$5</c:f>
              <c:strCache>
                <c:ptCount val="1"/>
                <c:pt idx="0">
                  <c:v>Ambos sexos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 11'!$B$7:$B$26</c:f>
              <c:strCache>
                <c:ptCount val="20"/>
                <c:pt idx="0">
                  <c:v>0 a 4</c:v>
                </c:pt>
                <c:pt idx="1">
                  <c:v>5 a 9</c:v>
                </c:pt>
                <c:pt idx="2">
                  <c:v>10 a 14</c:v>
                </c:pt>
                <c:pt idx="3">
                  <c:v>15 a 19</c:v>
                </c:pt>
                <c:pt idx="4">
                  <c:v>20 a 24</c:v>
                </c:pt>
                <c:pt idx="5">
                  <c:v>25 a 29</c:v>
                </c:pt>
                <c:pt idx="6">
                  <c:v>30 a 34</c:v>
                </c:pt>
                <c:pt idx="7">
                  <c:v>35 a 39</c:v>
                </c:pt>
                <c:pt idx="8">
                  <c:v>40 a 44</c:v>
                </c:pt>
                <c:pt idx="9">
                  <c:v>45 a 49</c:v>
                </c:pt>
                <c:pt idx="10">
                  <c:v>50 a 54</c:v>
                </c:pt>
                <c:pt idx="11">
                  <c:v>55 a 59</c:v>
                </c:pt>
                <c:pt idx="12">
                  <c:v>60 a 64</c:v>
                </c:pt>
                <c:pt idx="13">
                  <c:v>65 a 69</c:v>
                </c:pt>
                <c:pt idx="14">
                  <c:v>70 a 74</c:v>
                </c:pt>
                <c:pt idx="15">
                  <c:v>75 a 79</c:v>
                </c:pt>
                <c:pt idx="16">
                  <c:v>80 a 84</c:v>
                </c:pt>
                <c:pt idx="17">
                  <c:v>85 a 89</c:v>
                </c:pt>
                <c:pt idx="18">
                  <c:v>90 a 94</c:v>
                </c:pt>
                <c:pt idx="19">
                  <c:v>95 y más</c:v>
                </c:pt>
              </c:strCache>
            </c:strRef>
          </c:cat>
          <c:val>
            <c:numRef>
              <c:f>'Gráfico 11'!$C$7:$C$26</c:f>
              <c:numCache>
                <c:formatCode>#,##0</c:formatCode>
                <c:ptCount val="20"/>
                <c:pt idx="0">
                  <c:v>2974.0958029388557</c:v>
                </c:pt>
                <c:pt idx="1">
                  <c:v>1301.3188360205331</c:v>
                </c:pt>
                <c:pt idx="2">
                  <c:v>1197.0056349234476</c:v>
                </c:pt>
                <c:pt idx="3">
                  <c:v>1230.3413035199419</c:v>
                </c:pt>
                <c:pt idx="4">
                  <c:v>1336.9623146318006</c:v>
                </c:pt>
                <c:pt idx="5">
                  <c:v>1609.4877468401514</c:v>
                </c:pt>
                <c:pt idx="6">
                  <c:v>1652.9359537217565</c:v>
                </c:pt>
                <c:pt idx="7">
                  <c:v>1713.3995074895499</c:v>
                </c:pt>
                <c:pt idx="8">
                  <c:v>1623.0953208054732</c:v>
                </c:pt>
                <c:pt idx="9">
                  <c:v>1802.2009839393252</c:v>
                </c:pt>
                <c:pt idx="10">
                  <c:v>1862.8582751523722</c:v>
                </c:pt>
                <c:pt idx="11">
                  <c:v>2243.5869427025068</c:v>
                </c:pt>
                <c:pt idx="12">
                  <c:v>2358.3922234573502</c:v>
                </c:pt>
                <c:pt idx="13">
                  <c:v>2742.230249311689</c:v>
                </c:pt>
                <c:pt idx="14">
                  <c:v>2940.0590321044961</c:v>
                </c:pt>
                <c:pt idx="15">
                  <c:v>3250.5084948966123</c:v>
                </c:pt>
                <c:pt idx="16">
                  <c:v>3506.018587185622</c:v>
                </c:pt>
                <c:pt idx="17">
                  <c:v>3825.5684036927519</c:v>
                </c:pt>
                <c:pt idx="18">
                  <c:v>4048.463040398371</c:v>
                </c:pt>
                <c:pt idx="19">
                  <c:v>3896.1677160703234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9-4DE6-8D8C-1AC57ED90E5D}"/>
            </c:ext>
          </c:extLst>
        </c:ser>
        <c:ser>
          <c:idx val="1"/>
          <c:order val="1"/>
          <c:tx>
            <c:strRef>
              <c:f>'Gráfico 11'!$D$5</c:f>
              <c:strCache>
                <c:ptCount val="1"/>
                <c:pt idx="0">
                  <c:v>Hombres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'Gráfico 11'!$B$7:$B$26</c:f>
              <c:strCache>
                <c:ptCount val="20"/>
                <c:pt idx="0">
                  <c:v>0 a 4</c:v>
                </c:pt>
                <c:pt idx="1">
                  <c:v>5 a 9</c:v>
                </c:pt>
                <c:pt idx="2">
                  <c:v>10 a 14</c:v>
                </c:pt>
                <c:pt idx="3">
                  <c:v>15 a 19</c:v>
                </c:pt>
                <c:pt idx="4">
                  <c:v>20 a 24</c:v>
                </c:pt>
                <c:pt idx="5">
                  <c:v>25 a 29</c:v>
                </c:pt>
                <c:pt idx="6">
                  <c:v>30 a 34</c:v>
                </c:pt>
                <c:pt idx="7">
                  <c:v>35 a 39</c:v>
                </c:pt>
                <c:pt idx="8">
                  <c:v>40 a 44</c:v>
                </c:pt>
                <c:pt idx="9">
                  <c:v>45 a 49</c:v>
                </c:pt>
                <c:pt idx="10">
                  <c:v>50 a 54</c:v>
                </c:pt>
                <c:pt idx="11">
                  <c:v>55 a 59</c:v>
                </c:pt>
                <c:pt idx="12">
                  <c:v>60 a 64</c:v>
                </c:pt>
                <c:pt idx="13">
                  <c:v>65 a 69</c:v>
                </c:pt>
                <c:pt idx="14">
                  <c:v>70 a 74</c:v>
                </c:pt>
                <c:pt idx="15">
                  <c:v>75 a 79</c:v>
                </c:pt>
                <c:pt idx="16">
                  <c:v>80 a 84</c:v>
                </c:pt>
                <c:pt idx="17">
                  <c:v>85 a 89</c:v>
                </c:pt>
                <c:pt idx="18">
                  <c:v>90 a 94</c:v>
                </c:pt>
                <c:pt idx="19">
                  <c:v>95 y más</c:v>
                </c:pt>
              </c:strCache>
            </c:strRef>
          </c:cat>
          <c:val>
            <c:numRef>
              <c:f>'Gráfico 11'!$D$7:$D$26</c:f>
              <c:numCache>
                <c:formatCode>#,##0</c:formatCode>
                <c:ptCount val="20"/>
                <c:pt idx="0">
                  <c:v>3148.3275941860488</c:v>
                </c:pt>
                <c:pt idx="1">
                  <c:v>1349.0040521285573</c:v>
                </c:pt>
                <c:pt idx="2">
                  <c:v>1257.2956814384349</c:v>
                </c:pt>
                <c:pt idx="3">
                  <c:v>1096.0363852231612</c:v>
                </c:pt>
                <c:pt idx="4">
                  <c:v>1144.6798301597346</c:v>
                </c:pt>
                <c:pt idx="5">
                  <c:v>1181.9743551649453</c:v>
                </c:pt>
                <c:pt idx="6">
                  <c:v>1181.2042352407855</c:v>
                </c:pt>
                <c:pt idx="7">
                  <c:v>1330.8100112460879</c:v>
                </c:pt>
                <c:pt idx="8">
                  <c:v>1338.2427452451507</c:v>
                </c:pt>
                <c:pt idx="9">
                  <c:v>1588.3457768282215</c:v>
                </c:pt>
                <c:pt idx="10">
                  <c:v>1670.0044903688829</c:v>
                </c:pt>
                <c:pt idx="11">
                  <c:v>2210.8213780592664</c:v>
                </c:pt>
                <c:pt idx="12">
                  <c:v>2361.1758422709522</c:v>
                </c:pt>
                <c:pt idx="13">
                  <c:v>2821.7866828406522</c:v>
                </c:pt>
                <c:pt idx="14">
                  <c:v>3046.9160073660141</c:v>
                </c:pt>
                <c:pt idx="15">
                  <c:v>3522.7965003598902</c:v>
                </c:pt>
                <c:pt idx="16">
                  <c:v>3822.5269161286656</c:v>
                </c:pt>
                <c:pt idx="17">
                  <c:v>4360.0186421406815</c:v>
                </c:pt>
                <c:pt idx="18">
                  <c:v>4663.7090774331873</c:v>
                </c:pt>
                <c:pt idx="19">
                  <c:v>4674.0581907264432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9-4DE6-8D8C-1AC57ED90E5D}"/>
            </c:ext>
          </c:extLst>
        </c:ser>
        <c:ser>
          <c:idx val="2"/>
          <c:order val="2"/>
          <c:tx>
            <c:strRef>
              <c:f>'Gráfico 11'!$E$5</c:f>
              <c:strCache>
                <c:ptCount val="1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'Gráfico 11'!$B$7:$B$26</c:f>
              <c:strCache>
                <c:ptCount val="20"/>
                <c:pt idx="0">
                  <c:v>0 a 4</c:v>
                </c:pt>
                <c:pt idx="1">
                  <c:v>5 a 9</c:v>
                </c:pt>
                <c:pt idx="2">
                  <c:v>10 a 14</c:v>
                </c:pt>
                <c:pt idx="3">
                  <c:v>15 a 19</c:v>
                </c:pt>
                <c:pt idx="4">
                  <c:v>20 a 24</c:v>
                </c:pt>
                <c:pt idx="5">
                  <c:v>25 a 29</c:v>
                </c:pt>
                <c:pt idx="6">
                  <c:v>30 a 34</c:v>
                </c:pt>
                <c:pt idx="7">
                  <c:v>35 a 39</c:v>
                </c:pt>
                <c:pt idx="8">
                  <c:v>40 a 44</c:v>
                </c:pt>
                <c:pt idx="9">
                  <c:v>45 a 49</c:v>
                </c:pt>
                <c:pt idx="10">
                  <c:v>50 a 54</c:v>
                </c:pt>
                <c:pt idx="11">
                  <c:v>55 a 59</c:v>
                </c:pt>
                <c:pt idx="12">
                  <c:v>60 a 64</c:v>
                </c:pt>
                <c:pt idx="13">
                  <c:v>65 a 69</c:v>
                </c:pt>
                <c:pt idx="14">
                  <c:v>70 a 74</c:v>
                </c:pt>
                <c:pt idx="15">
                  <c:v>75 a 79</c:v>
                </c:pt>
                <c:pt idx="16">
                  <c:v>80 a 84</c:v>
                </c:pt>
                <c:pt idx="17">
                  <c:v>85 a 89</c:v>
                </c:pt>
                <c:pt idx="18">
                  <c:v>90 a 94</c:v>
                </c:pt>
                <c:pt idx="19">
                  <c:v>95 y más</c:v>
                </c:pt>
              </c:strCache>
            </c:strRef>
          </c:cat>
          <c:val>
            <c:numRef>
              <c:f>'Gráfico 11'!$E$7:$E$26</c:f>
              <c:numCache>
                <c:formatCode>#,##0</c:formatCode>
                <c:ptCount val="20"/>
                <c:pt idx="0">
                  <c:v>2789.9467107913752</c:v>
                </c:pt>
                <c:pt idx="1">
                  <c:v>1250.7566665659924</c:v>
                </c:pt>
                <c:pt idx="2">
                  <c:v>1132.9144533823935</c:v>
                </c:pt>
                <c:pt idx="3">
                  <c:v>1373.3346467538249</c:v>
                </c:pt>
                <c:pt idx="4">
                  <c:v>1541.1823195038255</c:v>
                </c:pt>
                <c:pt idx="5">
                  <c:v>2051.8554660047785</c:v>
                </c:pt>
                <c:pt idx="6">
                  <c:v>2131.7229087138967</c:v>
                </c:pt>
                <c:pt idx="7">
                  <c:v>2093.5094701822272</c:v>
                </c:pt>
                <c:pt idx="8">
                  <c:v>1909.9053761554389</c:v>
                </c:pt>
                <c:pt idx="9">
                  <c:v>2020.1225168529681</c:v>
                </c:pt>
                <c:pt idx="10">
                  <c:v>2055.921078318182</c:v>
                </c:pt>
                <c:pt idx="11">
                  <c:v>2275.379032956565</c:v>
                </c:pt>
                <c:pt idx="12">
                  <c:v>2355.7735243668326</c:v>
                </c:pt>
                <c:pt idx="13">
                  <c:v>2670.2631429311809</c:v>
                </c:pt>
                <c:pt idx="14">
                  <c:v>2847.9711575695519</c:v>
                </c:pt>
                <c:pt idx="15">
                  <c:v>3034.434196610056</c:v>
                </c:pt>
                <c:pt idx="16">
                  <c:v>3283.3545140902929</c:v>
                </c:pt>
                <c:pt idx="17">
                  <c:v>3518.9255231480738</c:v>
                </c:pt>
                <c:pt idx="18">
                  <c:v>3770.4433664941971</c:v>
                </c:pt>
                <c:pt idx="19">
                  <c:v>3652.2343975098456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9-4DE6-8D8C-1AC57ED9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462047"/>
        <c:axId val="319457055"/>
      </c:lineChart>
      <c:catAx>
        <c:axId val="3194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19457055"/>
        <c:crosses val="autoZero"/>
        <c:auto val="1"/>
        <c:lblAlgn val="ctr"/>
        <c:lblOffset val="100"/>
        <c:noMultiLvlLbl val="0"/>
      </c:catAx>
      <c:valAx>
        <c:axId val="31945705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194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1388888888889"/>
          <c:y val="0.91907844852726739"/>
          <c:w val="0.65683333333333338"/>
          <c:h val="8.092155147273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792588641093621E-2"/>
          <c:y val="1.4038322493737546E-2"/>
          <c:w val="0.92533095238095242"/>
          <c:h val="0.77079986504693199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'Gráfico 13'!$C$6</c:f>
              <c:strCache>
                <c:ptCount val="1"/>
                <c:pt idx="0">
                  <c:v>Crecimiento por demografía</c:v>
                </c:pt>
              </c:strCache>
            </c:strRef>
          </c:tx>
          <c:spPr>
            <a:pattFill prst="pct30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25000"/>
                </a:schemeClr>
              </a:solidFill>
              <a:prstDash val="sysDot"/>
            </a:ln>
            <a:effectLst/>
          </c:spPr>
          <c:invertIfNegative val="0"/>
          <c:cat>
            <c:numRef>
              <c:f>'Gráfico 13'!$D$5:$BF$5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f>'Gráfico 13'!$D$6:$BF$6</c:f>
              <c:numCache>
                <c:formatCode>0.0</c:formatCode>
                <c:ptCount val="55"/>
                <c:pt idx="0">
                  <c:v>0.75318952072243561</c:v>
                </c:pt>
                <c:pt idx="1">
                  <c:v>0.80455943133237118</c:v>
                </c:pt>
                <c:pt idx="2">
                  <c:v>1.0087392932076877</c:v>
                </c:pt>
                <c:pt idx="3">
                  <c:v>1.2031055267905064</c:v>
                </c:pt>
                <c:pt idx="4">
                  <c:v>0.54408643036782023</c:v>
                </c:pt>
                <c:pt idx="5">
                  <c:v>0.88538692498998495</c:v>
                </c:pt>
                <c:pt idx="6">
                  <c:v>1.4011974581004729</c:v>
                </c:pt>
                <c:pt idx="7">
                  <c:v>1.2818926690858616</c:v>
                </c:pt>
                <c:pt idx="8">
                  <c:v>1.6341590288335472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F-4B08-9F8C-F225ACB4406A}"/>
            </c:ext>
          </c:extLst>
        </c:ser>
        <c:ser>
          <c:idx val="0"/>
          <c:order val="1"/>
          <c:tx>
            <c:strRef>
              <c:f>'Gráfico 13'!$C$7</c:f>
              <c:strCache>
                <c:ptCount val="1"/>
                <c:pt idx="0">
                  <c:v>Crecimiento por otros factores</c:v>
                </c:pt>
              </c:strCache>
            </c:strRef>
          </c:tx>
          <c:spPr>
            <a:pattFill prst="pct30">
              <a:fgClr>
                <a:srgbClr val="8C2633"/>
              </a:fgClr>
              <a:bgClr>
                <a:schemeClr val="bg1"/>
              </a:bgClr>
            </a:pattFill>
            <a:ln>
              <a:solidFill>
                <a:srgbClr val="8C2633"/>
              </a:solidFill>
            </a:ln>
            <a:effectLst/>
          </c:spPr>
          <c:invertIfNegative val="0"/>
          <c:cat>
            <c:numRef>
              <c:f>'Gráfico 13'!$D$5:$BF$5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f>'Gráfico 13'!$D$7:$BF$7</c:f>
              <c:numCache>
                <c:formatCode>0.0</c:formatCode>
                <c:ptCount val="55"/>
                <c:pt idx="0">
                  <c:v>1.3796166330793924</c:v>
                </c:pt>
                <c:pt idx="1">
                  <c:v>2.1872264612314707</c:v>
                </c:pt>
                <c:pt idx="2">
                  <c:v>3.0587175821612664</c:v>
                </c:pt>
                <c:pt idx="3">
                  <c:v>4.7391061251507764</c:v>
                </c:pt>
                <c:pt idx="4">
                  <c:v>11.271808286970375</c:v>
                </c:pt>
                <c:pt idx="5">
                  <c:v>4.3524286294813939</c:v>
                </c:pt>
                <c:pt idx="6">
                  <c:v>2.7930772588840078</c:v>
                </c:pt>
                <c:pt idx="7">
                  <c:v>3.6805058996331512</c:v>
                </c:pt>
                <c:pt idx="8">
                  <c:v>4.705514016883404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69F-4B08-9F8C-F225ACB4406A}"/>
            </c:ext>
          </c:extLst>
        </c:ser>
        <c:ser>
          <c:idx val="3"/>
          <c:order val="2"/>
          <c:tx>
            <c:strRef>
              <c:f>'Gráfico 13'!$C$9</c:f>
              <c:strCache>
                <c:ptCount val="1"/>
                <c:pt idx="0">
                  <c:v>Crecimiento por demografía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numRef>
              <c:f>'Gráfico 13'!$D$5:$BF$5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f>'Gráfico 13'!$D$9:$BF$9</c:f>
              <c:numCache>
                <c:formatCode>0.0</c:formatCode>
                <c:ptCount val="55"/>
                <c:pt idx="9">
                  <c:v>1.1343349177182478</c:v>
                </c:pt>
                <c:pt idx="10">
                  <c:v>0.88670539987164765</c:v>
                </c:pt>
                <c:pt idx="11">
                  <c:v>0.87961248239445067</c:v>
                </c:pt>
                <c:pt idx="12">
                  <c:v>0.86049624875190944</c:v>
                </c:pt>
                <c:pt idx="13">
                  <c:v>0.87847776165339608</c:v>
                </c:pt>
                <c:pt idx="14">
                  <c:v>0.89281527897443047</c:v>
                </c:pt>
                <c:pt idx="15">
                  <c:v>0.86554250859776383</c:v>
                </c:pt>
                <c:pt idx="16">
                  <c:v>0.88789878991451865</c:v>
                </c:pt>
                <c:pt idx="17">
                  <c:v>0.91284020607544525</c:v>
                </c:pt>
                <c:pt idx="18">
                  <c:v>0.86006073387770576</c:v>
                </c:pt>
                <c:pt idx="19">
                  <c:v>0.83120604719207458</c:v>
                </c:pt>
                <c:pt idx="20">
                  <c:v>0.81894389451960181</c:v>
                </c:pt>
                <c:pt idx="21">
                  <c:v>0.79905281838278008</c:v>
                </c:pt>
                <c:pt idx="22">
                  <c:v>0.79280287963548179</c:v>
                </c:pt>
                <c:pt idx="23">
                  <c:v>0.7617061140525111</c:v>
                </c:pt>
                <c:pt idx="24">
                  <c:v>0.73842140312211724</c:v>
                </c:pt>
                <c:pt idx="25">
                  <c:v>0.75111885140863044</c:v>
                </c:pt>
                <c:pt idx="26">
                  <c:v>0.6998580147238157</c:v>
                </c:pt>
                <c:pt idx="27">
                  <c:v>0.65759954343734606</c:v>
                </c:pt>
                <c:pt idx="28">
                  <c:v>0.62889159273807171</c:v>
                </c:pt>
                <c:pt idx="29">
                  <c:v>0.57815060354500147</c:v>
                </c:pt>
                <c:pt idx="30">
                  <c:v>0.50937545925468175</c:v>
                </c:pt>
                <c:pt idx="31">
                  <c:v>0.44487038674982088</c:v>
                </c:pt>
                <c:pt idx="32">
                  <c:v>0.39265348032317587</c:v>
                </c:pt>
                <c:pt idx="33">
                  <c:v>0.32594456715109987</c:v>
                </c:pt>
                <c:pt idx="34">
                  <c:v>0.26484489920366916</c:v>
                </c:pt>
                <c:pt idx="35">
                  <c:v>0.2184079707671446</c:v>
                </c:pt>
                <c:pt idx="36">
                  <c:v>0.18568604899108815</c:v>
                </c:pt>
                <c:pt idx="37">
                  <c:v>0.16443615758298982</c:v>
                </c:pt>
                <c:pt idx="38">
                  <c:v>0.1382136584917629</c:v>
                </c:pt>
                <c:pt idx="39">
                  <c:v>0.11587859700181551</c:v>
                </c:pt>
                <c:pt idx="40">
                  <c:v>0.10394182245283985</c:v>
                </c:pt>
                <c:pt idx="41">
                  <c:v>9.2564981924239384E-2</c:v>
                </c:pt>
                <c:pt idx="42">
                  <c:v>8.6320654948589773E-2</c:v>
                </c:pt>
                <c:pt idx="43">
                  <c:v>7.1008420464918953E-2</c:v>
                </c:pt>
                <c:pt idx="44">
                  <c:v>3.5354875620443149E-2</c:v>
                </c:pt>
                <c:pt idx="45">
                  <c:v>2.0518741248584074E-2</c:v>
                </c:pt>
                <c:pt idx="46">
                  <c:v>-2.6221816294016717E-3</c:v>
                </c:pt>
                <c:pt idx="47">
                  <c:v>-3.4666242415909519E-3</c:v>
                </c:pt>
                <c:pt idx="48">
                  <c:v>-1.0614571308462398E-2</c:v>
                </c:pt>
                <c:pt idx="49">
                  <c:v>1.4526921154323814E-2</c:v>
                </c:pt>
                <c:pt idx="50">
                  <c:v>2.1475707683105322E-2</c:v>
                </c:pt>
                <c:pt idx="51">
                  <c:v>3.3558800041663277E-2</c:v>
                </c:pt>
                <c:pt idx="52">
                  <c:v>5.7519902221950303E-2</c:v>
                </c:pt>
                <c:pt idx="53">
                  <c:v>8.9013546178180109E-2</c:v>
                </c:pt>
                <c:pt idx="54">
                  <c:v>0.11859967282862648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F-4B08-9F8C-F225ACB4406A}"/>
            </c:ext>
          </c:extLst>
        </c:ser>
        <c:ser>
          <c:idx val="4"/>
          <c:order val="3"/>
          <c:tx>
            <c:strRef>
              <c:f>'Gráfico 13'!$C$10</c:f>
              <c:strCache>
                <c:ptCount val="1"/>
                <c:pt idx="0">
                  <c:v>Crecimiento por otros factores</c:v>
                </c:pt>
              </c:strCache>
            </c:strRef>
          </c:tx>
          <c:spPr>
            <a:solidFill>
              <a:srgbClr val="8C2633"/>
            </a:solidFill>
            <a:ln>
              <a:solidFill>
                <a:srgbClr val="8C2633"/>
              </a:solidFill>
              <a:prstDash val="solid"/>
            </a:ln>
            <a:effectLst/>
          </c:spPr>
          <c:invertIfNegative val="0"/>
          <c:cat>
            <c:numRef>
              <c:f>'Gráfico 13'!$D$5:$BF$5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f>'Gráfico 13'!$D$10:$BF$10</c:f>
              <c:numCache>
                <c:formatCode>0.0</c:formatCode>
                <c:ptCount val="55"/>
                <c:pt idx="9">
                  <c:v>2.7510591721067525</c:v>
                </c:pt>
                <c:pt idx="10">
                  <c:v>3.1483256768222483</c:v>
                </c:pt>
                <c:pt idx="11">
                  <c:v>3.3167302696233163</c:v>
                </c:pt>
                <c:pt idx="12">
                  <c:v>3.3796808129798115</c:v>
                </c:pt>
                <c:pt idx="13">
                  <c:v>3.4750832167745882</c:v>
                </c:pt>
                <c:pt idx="14">
                  <c:v>3.491615713283351</c:v>
                </c:pt>
                <c:pt idx="15">
                  <c:v>3.5936493082215448</c:v>
                </c:pt>
                <c:pt idx="16">
                  <c:v>3.6146843887751383</c:v>
                </c:pt>
                <c:pt idx="17">
                  <c:v>3.5692215546667723</c:v>
                </c:pt>
                <c:pt idx="18">
                  <c:v>3.5003471457820829</c:v>
                </c:pt>
                <c:pt idx="19">
                  <c:v>3.4641566439535127</c:v>
                </c:pt>
                <c:pt idx="20">
                  <c:v>3.4381415871941501</c:v>
                </c:pt>
                <c:pt idx="21">
                  <c:v>3.4465448088381851</c:v>
                </c:pt>
                <c:pt idx="22">
                  <c:v>3.4389381222265953</c:v>
                </c:pt>
                <c:pt idx="23">
                  <c:v>3.4541991995749668</c:v>
                </c:pt>
                <c:pt idx="24">
                  <c:v>3.4626705698100744</c:v>
                </c:pt>
                <c:pt idx="25">
                  <c:v>3.4382159017258691</c:v>
                </c:pt>
                <c:pt idx="26">
                  <c:v>3.4570679189856941</c:v>
                </c:pt>
                <c:pt idx="27">
                  <c:v>3.4682438941085274</c:v>
                </c:pt>
                <c:pt idx="28">
                  <c:v>3.4458948027386436</c:v>
                </c:pt>
                <c:pt idx="29">
                  <c:v>3.4401550739651574</c:v>
                </c:pt>
                <c:pt idx="30">
                  <c:v>3.4633872713729956</c:v>
                </c:pt>
                <c:pt idx="31">
                  <c:v>3.4759048961464512</c:v>
                </c:pt>
                <c:pt idx="32">
                  <c:v>3.4800855638918144</c:v>
                </c:pt>
                <c:pt idx="33">
                  <c:v>3.492587581626287</c:v>
                </c:pt>
                <c:pt idx="34">
                  <c:v>3.5046557422231124</c:v>
                </c:pt>
                <c:pt idx="35">
                  <c:v>3.5053552711439151</c:v>
                </c:pt>
                <c:pt idx="36">
                  <c:v>3.4970320862267226</c:v>
                </c:pt>
                <c:pt idx="37">
                  <c:v>3.4879587233955367</c:v>
                </c:pt>
                <c:pt idx="38">
                  <c:v>3.4894687887879932</c:v>
                </c:pt>
                <c:pt idx="39">
                  <c:v>3.4857972002173128</c:v>
                </c:pt>
                <c:pt idx="40">
                  <c:v>3.4678812232938405</c:v>
                </c:pt>
                <c:pt idx="41">
                  <c:v>3.4451443603495808</c:v>
                </c:pt>
                <c:pt idx="42">
                  <c:v>3.4127036115457869</c:v>
                </c:pt>
                <c:pt idx="43">
                  <c:v>3.3841410605888909</c:v>
                </c:pt>
                <c:pt idx="44">
                  <c:v>3.3636971812021614</c:v>
                </c:pt>
                <c:pt idx="45">
                  <c:v>3.3243422117263424</c:v>
                </c:pt>
                <c:pt idx="46">
                  <c:v>3.289848748378581</c:v>
                </c:pt>
                <c:pt idx="47">
                  <c:v>3.2401048254132507</c:v>
                </c:pt>
                <c:pt idx="48">
                  <c:v>3.2053117093690831</c:v>
                </c:pt>
                <c:pt idx="49">
                  <c:v>3.1416950067731593</c:v>
                </c:pt>
                <c:pt idx="50">
                  <c:v>3.0968956811227799</c:v>
                </c:pt>
                <c:pt idx="51">
                  <c:v>3.0439589538821341</c:v>
                </c:pt>
                <c:pt idx="52">
                  <c:v>2.9837543891598401</c:v>
                </c:pt>
                <c:pt idx="53">
                  <c:v>2.9139812141661774</c:v>
                </c:pt>
                <c:pt idx="54">
                  <c:v>2.8475128704768502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F-4B08-9F8C-F225ACB44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120066591"/>
        <c:axId val="685574239"/>
      </c:bar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noMultiLvlLbl val="0"/>
      </c:catAx>
      <c:valAx>
        <c:axId val="685574239"/>
        <c:scaling>
          <c:orientation val="minMax"/>
          <c:max val="12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2710277916135401"/>
          <c:y val="0.87925320010814112"/>
          <c:w val="0.65488081694418887"/>
          <c:h val="8.5126212493790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 14'!$B$5</c:f>
              <c:strCache>
                <c:ptCount val="1"/>
                <c:pt idx="0">
                  <c:v>Promedio 2016-2023 crecimiento sanidad por demografía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 14'!$C$4:$S$4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14'!$C$5:$S$5</c:f>
              <c:numCache>
                <c:formatCode>#,##0.0</c:formatCode>
                <c:ptCount val="17"/>
                <c:pt idx="0">
                  <c:v>0.93078916389536737</c:v>
                </c:pt>
                <c:pt idx="1">
                  <c:v>0.58679096431605493</c:v>
                </c:pt>
                <c:pt idx="2">
                  <c:v>0.30559956672355171</c:v>
                </c:pt>
                <c:pt idx="3">
                  <c:v>1.5783596771890136</c:v>
                </c:pt>
                <c:pt idx="4">
                  <c:v>1.5732556916316465</c:v>
                </c:pt>
                <c:pt idx="5">
                  <c:v>0.60218533957188269</c:v>
                </c:pt>
                <c:pt idx="6">
                  <c:v>0.13851860994140947</c:v>
                </c:pt>
                <c:pt idx="7">
                  <c:v>0.75902222460171909</c:v>
                </c:pt>
                <c:pt idx="8">
                  <c:v>1.1415030683186109</c:v>
                </c:pt>
                <c:pt idx="9">
                  <c:v>1.2973835674899303</c:v>
                </c:pt>
                <c:pt idx="10">
                  <c:v>0.22566528483373449</c:v>
                </c:pt>
                <c:pt idx="11">
                  <c:v>0.27044354942085369</c:v>
                </c:pt>
                <c:pt idx="12">
                  <c:v>1.5247948424912485</c:v>
                </c:pt>
                <c:pt idx="13">
                  <c:v>1.245759582227975</c:v>
                </c:pt>
                <c:pt idx="14">
                  <c:v>0.93319643715063205</c:v>
                </c:pt>
                <c:pt idx="15">
                  <c:v>0.80189355090363412</c:v>
                </c:pt>
                <c:pt idx="16">
                  <c:v>0.63955778734575819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E-479B-9F61-5C712140C5D1}"/>
            </c:ext>
          </c:extLst>
        </c:ser>
        <c:ser>
          <c:idx val="1"/>
          <c:order val="1"/>
          <c:tx>
            <c:strRef>
              <c:f>'Gráfico 14'!$B$6</c:f>
              <c:strCache>
                <c:ptCount val="1"/>
                <c:pt idx="0">
                  <c:v>Promedio 2016-2023 crecimiento sanidad por otros factores</c:v>
                </c:pt>
              </c:strCache>
            </c:strRef>
          </c:tx>
          <c:spPr>
            <a:solidFill>
              <a:srgbClr val="8C2633"/>
            </a:solidFill>
            <a:ln>
              <a:noFill/>
            </a:ln>
            <a:effectLst/>
          </c:spPr>
          <c:invertIfNegative val="0"/>
          <c:cat>
            <c:strRef>
              <c:f>'Gráfico 14'!$C$4:$S$4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14'!$C$6:$S$6</c:f>
              <c:numCache>
                <c:formatCode>#,##0.0</c:formatCode>
                <c:ptCount val="17"/>
                <c:pt idx="0">
                  <c:v>4.5542102618675475</c:v>
                </c:pt>
                <c:pt idx="1">
                  <c:v>4.6442378702079621</c:v>
                </c:pt>
                <c:pt idx="2">
                  <c:v>3.7416109986428379</c:v>
                </c:pt>
                <c:pt idx="3">
                  <c:v>4.1650110729937762</c:v>
                </c:pt>
                <c:pt idx="4">
                  <c:v>4.3412201884393786</c:v>
                </c:pt>
                <c:pt idx="5">
                  <c:v>4.3685641413032847</c:v>
                </c:pt>
                <c:pt idx="6">
                  <c:v>3.982584224753853</c:v>
                </c:pt>
                <c:pt idx="7">
                  <c:v>4.5158159230614032</c:v>
                </c:pt>
                <c:pt idx="8">
                  <c:v>5.0906749866657881</c:v>
                </c:pt>
                <c:pt idx="9">
                  <c:v>3.7790484383141525</c:v>
                </c:pt>
                <c:pt idx="10">
                  <c:v>3.6281670742104435</c:v>
                </c:pt>
                <c:pt idx="11">
                  <c:v>3.843824800627015</c:v>
                </c:pt>
                <c:pt idx="12">
                  <c:v>3.7287671374930076</c:v>
                </c:pt>
                <c:pt idx="13">
                  <c:v>4.000496788982205</c:v>
                </c:pt>
                <c:pt idx="14">
                  <c:v>4.0419616396182469</c:v>
                </c:pt>
                <c:pt idx="15">
                  <c:v>3.0459257445435135</c:v>
                </c:pt>
                <c:pt idx="16">
                  <c:v>3.6609985511177938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E-479B-9F61-5C712140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1525471"/>
        <c:axId val="1021529791"/>
      </c:barChart>
      <c:lineChart>
        <c:grouping val="standard"/>
        <c:varyColors val="0"/>
        <c:ser>
          <c:idx val="2"/>
          <c:order val="2"/>
          <c:tx>
            <c:strRef>
              <c:f>'Gráfico 14'!$B$7</c:f>
              <c:strCache>
                <c:ptCount val="1"/>
                <c:pt idx="0">
                  <c:v>Promedio 2016-2023 crecimiento total gasto sanidad</c:v>
                </c:pt>
              </c:strCache>
            </c:strRef>
          </c:tx>
          <c:spPr>
            <a:ln w="28575" cap="sq">
              <a:noFill/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cat>
            <c:strRef>
              <c:f>'Gráfico 14'!$C$4:$S$4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14'!$C$7:$S$7</c:f>
              <c:numCache>
                <c:formatCode>#,##0.0</c:formatCode>
                <c:ptCount val="17"/>
                <c:pt idx="0">
                  <c:v>5.4849994257629158</c:v>
                </c:pt>
                <c:pt idx="1">
                  <c:v>5.2310288345240172</c:v>
                </c:pt>
                <c:pt idx="2">
                  <c:v>4.047210565366389</c:v>
                </c:pt>
                <c:pt idx="3">
                  <c:v>5.7433707501827893</c:v>
                </c:pt>
                <c:pt idx="4">
                  <c:v>5.9144758800710253</c:v>
                </c:pt>
                <c:pt idx="5">
                  <c:v>4.9707494808751678</c:v>
                </c:pt>
                <c:pt idx="6">
                  <c:v>4.1211028346952627</c:v>
                </c:pt>
                <c:pt idx="7">
                  <c:v>5.2748381476631225</c:v>
                </c:pt>
                <c:pt idx="8">
                  <c:v>6.2321780549843995</c:v>
                </c:pt>
                <c:pt idx="9">
                  <c:v>5.0764320058040822</c:v>
                </c:pt>
                <c:pt idx="10">
                  <c:v>3.8538323590441781</c:v>
                </c:pt>
                <c:pt idx="11">
                  <c:v>4.1142683500478698</c:v>
                </c:pt>
                <c:pt idx="12">
                  <c:v>5.2535619799842559</c:v>
                </c:pt>
                <c:pt idx="13">
                  <c:v>5.2462563712101797</c:v>
                </c:pt>
                <c:pt idx="14">
                  <c:v>4.9751580767688806</c:v>
                </c:pt>
                <c:pt idx="15">
                  <c:v>3.8478192954471471</c:v>
                </c:pt>
                <c:pt idx="16">
                  <c:v>4.3005563384635526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E-479B-9F61-5C712140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525471"/>
        <c:axId val="1021529791"/>
      </c:lineChart>
      <c:catAx>
        <c:axId val="102152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529791"/>
        <c:crosses val="autoZero"/>
        <c:auto val="1"/>
        <c:lblAlgn val="ctr"/>
        <c:lblOffset val="100"/>
        <c:noMultiLvlLbl val="0"/>
      </c:catAx>
      <c:valAx>
        <c:axId val="1021529791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52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39-4F9F-8837-0B9944A11C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39-4F9F-8837-0B9944A11C3F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39-4F9F-8837-0B9944A11C3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39-4F9F-8837-0B9944A11C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39-4F9F-8837-0B9944A11C3F}"/>
              </c:ext>
            </c:extLst>
          </c:dPt>
          <c:dPt>
            <c:idx val="5"/>
            <c:bubble3D val="0"/>
            <c:spPr>
              <a:pattFill prst="narVert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639-4F9F-8837-0B9944A11C3F}"/>
              </c:ext>
            </c:extLst>
          </c:dPt>
          <c:dLbls>
            <c:dLbl>
              <c:idx val="0"/>
              <c:layout>
                <c:manualLayout>
                  <c:x val="1.2559492563429571E-2"/>
                  <c:y val="-8.26006124234470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39-4F9F-8837-0B9944A11C3F}"/>
                </c:ext>
              </c:extLst>
            </c:dLbl>
            <c:dLbl>
              <c:idx val="1"/>
              <c:layout>
                <c:manualLayout>
                  <c:x val="-7.9988626421697281E-2"/>
                  <c:y val="-6.8509405074365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39-4F9F-8837-0B9944A11C3F}"/>
                </c:ext>
              </c:extLst>
            </c:dLbl>
            <c:dLbl>
              <c:idx val="2"/>
              <c:layout>
                <c:manualLayout>
                  <c:x val="-1.4596456692913385E-2"/>
                  <c:y val="1.6397637795275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39-4F9F-8837-0B9944A11C3F}"/>
                </c:ext>
              </c:extLst>
            </c:dLbl>
            <c:dLbl>
              <c:idx val="3"/>
              <c:layout>
                <c:manualLayout>
                  <c:x val="-1.6435258092738408E-2"/>
                  <c:y val="-9.30664916885389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39-4F9F-8837-0B9944A11C3F}"/>
                </c:ext>
              </c:extLst>
            </c:dLbl>
            <c:dLbl>
              <c:idx val="4"/>
              <c:layout>
                <c:manualLayout>
                  <c:x val="-2.3840769903762028E-2"/>
                  <c:y val="2.610090405365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39-4F9F-8837-0B9944A11C3F}"/>
                </c:ext>
              </c:extLst>
            </c:dLbl>
            <c:dLbl>
              <c:idx val="5"/>
              <c:layout>
                <c:manualLayout>
                  <c:x val="-4.3834864391951008E-2"/>
                  <c:y val="9.99343832020997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39-4F9F-8837-0B9944A11C3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17'!$K$8:$K$13</c:f>
              <c:strCache>
                <c:ptCount val="6"/>
                <c:pt idx="0">
                  <c:v>Educación infantil y primaria</c:v>
                </c:pt>
                <c:pt idx="1">
                  <c:v>Educación secundaria y FP</c:v>
                </c:pt>
                <c:pt idx="2">
                  <c:v>Enseñanzas de regimen especial</c:v>
                </c:pt>
                <c:pt idx="3">
                  <c:v>Educación especial</c:v>
                </c:pt>
                <c:pt idx="4">
                  <c:v>Educación universitaria</c:v>
                </c:pt>
                <c:pt idx="5">
                  <c:v>Otros gastos</c:v>
                </c:pt>
              </c:strCache>
            </c:strRef>
          </c:cat>
          <c:val>
            <c:numRef>
              <c:f>'Gráfico 17'!$L$8:$L$13</c:f>
              <c:numCache>
                <c:formatCode>0.00</c:formatCode>
                <c:ptCount val="6"/>
                <c:pt idx="0">
                  <c:v>29.554324779778096</c:v>
                </c:pt>
                <c:pt idx="1">
                  <c:v>32.269684319348833</c:v>
                </c:pt>
                <c:pt idx="2">
                  <c:v>2.1773167552167161</c:v>
                </c:pt>
                <c:pt idx="3">
                  <c:v>2.9654258715526316</c:v>
                </c:pt>
                <c:pt idx="4">
                  <c:v>20.644723340767314</c:v>
                </c:pt>
                <c:pt idx="5">
                  <c:v>12.388524933336408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39-4F9F-8837-0B9944A1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18'!$C$4</c:f>
              <c:strCache>
                <c:ptCount val="1"/>
                <c:pt idx="0">
                  <c:v>Número de alumnos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18'!$B$5:$B$9</c:f>
              <c:strCache>
                <c:ptCount val="5"/>
                <c:pt idx="0">
                  <c:v>Educación infantil y primaria</c:v>
                </c:pt>
                <c:pt idx="1">
                  <c:v>Educación secundaria y FP</c:v>
                </c:pt>
                <c:pt idx="2">
                  <c:v>Enseñanzas de regimen especial</c:v>
                </c:pt>
                <c:pt idx="3">
                  <c:v>Educación especial</c:v>
                </c:pt>
                <c:pt idx="4">
                  <c:v>Educación universitaria</c:v>
                </c:pt>
              </c:strCache>
            </c:strRef>
          </c:cat>
          <c:val>
            <c:numRef>
              <c:f>'Gráfico 18'!$C$5:$C$9</c:f>
              <c:numCache>
                <c:formatCode>#,##0</c:formatCode>
                <c:ptCount val="5"/>
                <c:pt idx="0">
                  <c:v>4408556</c:v>
                </c:pt>
                <c:pt idx="1">
                  <c:v>3868321</c:v>
                </c:pt>
                <c:pt idx="2">
                  <c:v>716951</c:v>
                </c:pt>
                <c:pt idx="3">
                  <c:v>41521</c:v>
                </c:pt>
                <c:pt idx="4">
                  <c:v>1227820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A-4F52-8FE2-D83C67568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580000"/>
        <c:axId val="1017561280"/>
      </c:barChart>
      <c:lineChart>
        <c:grouping val="standard"/>
        <c:varyColors val="0"/>
        <c:ser>
          <c:idx val="1"/>
          <c:order val="1"/>
          <c:tx>
            <c:strRef>
              <c:f>'Gráfico 18'!$D$4</c:f>
              <c:strCache>
                <c:ptCount val="1"/>
                <c:pt idx="0">
                  <c:v>Gasto por alumno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'Gráfico 18'!$B$5:$B$9</c:f>
              <c:strCache>
                <c:ptCount val="5"/>
                <c:pt idx="0">
                  <c:v>Educación infantil y primaria</c:v>
                </c:pt>
                <c:pt idx="1">
                  <c:v>Educación secundaria y FP</c:v>
                </c:pt>
                <c:pt idx="2">
                  <c:v>Enseñanzas de regimen especial</c:v>
                </c:pt>
                <c:pt idx="3">
                  <c:v>Educación especial</c:v>
                </c:pt>
                <c:pt idx="4">
                  <c:v>Educación universitaria</c:v>
                </c:pt>
              </c:strCache>
            </c:strRef>
          </c:cat>
          <c:val>
            <c:numRef>
              <c:f>'Gráfico 18'!$D$5:$D$9</c:f>
              <c:numCache>
                <c:formatCode>General</c:formatCode>
                <c:ptCount val="5"/>
                <c:pt idx="0">
                  <c:v>3.7647045427119448</c:v>
                </c:pt>
                <c:pt idx="1">
                  <c:v>4.6846638115089201</c:v>
                </c:pt>
                <c:pt idx="2">
                  <c:v>1.7054475131494342</c:v>
                </c:pt>
                <c:pt idx="3">
                  <c:v>40.107490185689173</c:v>
                </c:pt>
                <c:pt idx="4">
                  <c:v>9.4423606066035735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A-4F52-8FE2-D83C67568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579168"/>
        <c:axId val="1017576256"/>
      </c:lineChart>
      <c:catAx>
        <c:axId val="10175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61280"/>
        <c:crosses val="autoZero"/>
        <c:auto val="1"/>
        <c:lblAlgn val="ctr"/>
        <c:lblOffset val="100"/>
        <c:noMultiLvlLbl val="0"/>
      </c:catAx>
      <c:valAx>
        <c:axId val="10175612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80000"/>
        <c:crosses val="autoZero"/>
        <c:crossBetween val="between"/>
      </c:valAx>
      <c:valAx>
        <c:axId val="10175762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79168"/>
        <c:crosses val="max"/>
        <c:crossBetween val="between"/>
      </c:valAx>
      <c:catAx>
        <c:axId val="101757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7576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numRef>
              <c:f>'Gráfico 19'!$B$4:$B$50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 19'!$C$4:$C$53</c:f>
              <c:numCache>
                <c:formatCode>0.00</c:formatCode>
                <c:ptCount val="50"/>
                <c:pt idx="0">
                  <c:v>4.0631713772665101</c:v>
                </c:pt>
                <c:pt idx="1">
                  <c:v>4.0365116570536896</c:v>
                </c:pt>
                <c:pt idx="2">
                  <c:v>3.9798076357339869</c:v>
                </c:pt>
                <c:pt idx="3">
                  <c:v>3.953209159736736</c:v>
                </c:pt>
                <c:pt idx="4">
                  <c:v>3.9380491591904758</c:v>
                </c:pt>
                <c:pt idx="5">
                  <c:v>3.9204402783694525</c:v>
                </c:pt>
                <c:pt idx="6">
                  <c:v>3.8988162501084047</c:v>
                </c:pt>
                <c:pt idx="7">
                  <c:v>3.869360779728416</c:v>
                </c:pt>
                <c:pt idx="8">
                  <c:v>3.8270409720638701</c:v>
                </c:pt>
                <c:pt idx="9">
                  <c:v>3.7753420016038084</c:v>
                </c:pt>
                <c:pt idx="10">
                  <c:v>3.7204850242906589</c:v>
                </c:pt>
                <c:pt idx="11">
                  <c:v>3.6669804095370915</c:v>
                </c:pt>
                <c:pt idx="12">
                  <c:v>3.6154851444705094</c:v>
                </c:pt>
                <c:pt idx="13">
                  <c:v>3.567627187762946</c:v>
                </c:pt>
                <c:pt idx="14">
                  <c:v>3.5258243352973673</c:v>
                </c:pt>
                <c:pt idx="15">
                  <c:v>3.4893196000230193</c:v>
                </c:pt>
                <c:pt idx="16">
                  <c:v>3.4587619358500499</c:v>
                </c:pt>
                <c:pt idx="17">
                  <c:v>3.4339733128728658</c:v>
                </c:pt>
                <c:pt idx="18">
                  <c:v>3.4164446198088103</c:v>
                </c:pt>
                <c:pt idx="19">
                  <c:v>3.4061514277384597</c:v>
                </c:pt>
                <c:pt idx="20">
                  <c:v>3.4002990557258581</c:v>
                </c:pt>
                <c:pt idx="21">
                  <c:v>3.4005197067793231</c:v>
                </c:pt>
                <c:pt idx="22">
                  <c:v>3.4053097521287468</c:v>
                </c:pt>
                <c:pt idx="23">
                  <c:v>3.4144637253599388</c:v>
                </c:pt>
                <c:pt idx="24">
                  <c:v>3.4271440769306918</c:v>
                </c:pt>
                <c:pt idx="25">
                  <c:v>3.44183327317482</c:v>
                </c:pt>
                <c:pt idx="26">
                  <c:v>3.45838972727487</c:v>
                </c:pt>
                <c:pt idx="27">
                  <c:v>3.4748506744854706</c:v>
                </c:pt>
                <c:pt idx="28">
                  <c:v>3.4916425891652372</c:v>
                </c:pt>
                <c:pt idx="29">
                  <c:v>3.5082027321941038</c:v>
                </c:pt>
                <c:pt idx="30">
                  <c:v>3.5241608047731083</c:v>
                </c:pt>
                <c:pt idx="31">
                  <c:v>3.5400147730618357</c:v>
                </c:pt>
                <c:pt idx="32">
                  <c:v>3.5541034224074308</c:v>
                </c:pt>
                <c:pt idx="33">
                  <c:v>3.5677954723579979</c:v>
                </c:pt>
                <c:pt idx="34">
                  <c:v>3.5786694203809444</c:v>
                </c:pt>
                <c:pt idx="35">
                  <c:v>3.5879336708781335</c:v>
                </c:pt>
                <c:pt idx="36">
                  <c:v>3.5958379035219714</c:v>
                </c:pt>
                <c:pt idx="37">
                  <c:v>3.6010958313785757</c:v>
                </c:pt>
                <c:pt idx="38">
                  <c:v>3.6059687078387297</c:v>
                </c:pt>
                <c:pt idx="39">
                  <c:v>3.6094714428898778</c:v>
                </c:pt>
                <c:pt idx="40">
                  <c:v>3.6121824772421909</c:v>
                </c:pt>
                <c:pt idx="41">
                  <c:v>3.6148768183643694</c:v>
                </c:pt>
                <c:pt idx="42">
                  <c:v>3.6168498099613067</c:v>
                </c:pt>
                <c:pt idx="43">
                  <c:v>3.6196688987830439</c:v>
                </c:pt>
                <c:pt idx="44">
                  <c:v>3.6216712380638403</c:v>
                </c:pt>
                <c:pt idx="45">
                  <c:v>3.6245303062975811</c:v>
                </c:pt>
                <c:pt idx="46">
                  <c:v>3.6278036763896369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4-4209-8452-E5B795F160D1}"/>
            </c:ext>
          </c:extLst>
        </c:ser>
        <c:ser>
          <c:idx val="3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19'!$B$4:$B$50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 19'!$C$4:$C$53</c:f>
              <c:numCache>
                <c:formatCode>0.00</c:formatCode>
                <c:ptCount val="50"/>
                <c:pt idx="0">
                  <c:v>4.0631713772665101</c:v>
                </c:pt>
                <c:pt idx="1">
                  <c:v>4.0365116570536896</c:v>
                </c:pt>
                <c:pt idx="2">
                  <c:v>3.9798076357339869</c:v>
                </c:pt>
                <c:pt idx="3">
                  <c:v>3.953209159736736</c:v>
                </c:pt>
                <c:pt idx="4">
                  <c:v>3.9380491591904758</c:v>
                </c:pt>
                <c:pt idx="5">
                  <c:v>3.9204402783694525</c:v>
                </c:pt>
                <c:pt idx="6">
                  <c:v>3.8988162501084047</c:v>
                </c:pt>
                <c:pt idx="7">
                  <c:v>3.869360779728416</c:v>
                </c:pt>
                <c:pt idx="8">
                  <c:v>3.8270409720638701</c:v>
                </c:pt>
                <c:pt idx="9">
                  <c:v>3.7753420016038084</c:v>
                </c:pt>
                <c:pt idx="10">
                  <c:v>3.7204850242906589</c:v>
                </c:pt>
                <c:pt idx="11">
                  <c:v>3.6669804095370915</c:v>
                </c:pt>
                <c:pt idx="12">
                  <c:v>3.6154851444705094</c:v>
                </c:pt>
                <c:pt idx="13">
                  <c:v>3.567627187762946</c:v>
                </c:pt>
                <c:pt idx="14">
                  <c:v>3.5258243352973673</c:v>
                </c:pt>
                <c:pt idx="15">
                  <c:v>3.4893196000230193</c:v>
                </c:pt>
                <c:pt idx="16">
                  <c:v>3.4587619358500499</c:v>
                </c:pt>
                <c:pt idx="17">
                  <c:v>3.4339733128728658</c:v>
                </c:pt>
                <c:pt idx="18">
                  <c:v>3.4164446198088103</c:v>
                </c:pt>
                <c:pt idx="19">
                  <c:v>3.4061514277384597</c:v>
                </c:pt>
                <c:pt idx="20">
                  <c:v>3.4002990557258581</c:v>
                </c:pt>
                <c:pt idx="21">
                  <c:v>3.4005197067793231</c:v>
                </c:pt>
                <c:pt idx="22">
                  <c:v>3.4053097521287468</c:v>
                </c:pt>
                <c:pt idx="23">
                  <c:v>3.4144637253599388</c:v>
                </c:pt>
                <c:pt idx="24">
                  <c:v>3.4271440769306918</c:v>
                </c:pt>
                <c:pt idx="25">
                  <c:v>3.44183327317482</c:v>
                </c:pt>
                <c:pt idx="26">
                  <c:v>3.45838972727487</c:v>
                </c:pt>
                <c:pt idx="27">
                  <c:v>3.4748506744854706</c:v>
                </c:pt>
                <c:pt idx="28">
                  <c:v>3.4916425891652372</c:v>
                </c:pt>
                <c:pt idx="29">
                  <c:v>3.5082027321941038</c:v>
                </c:pt>
                <c:pt idx="30">
                  <c:v>3.5241608047731083</c:v>
                </c:pt>
                <c:pt idx="31">
                  <c:v>3.5400147730618357</c:v>
                </c:pt>
                <c:pt idx="32">
                  <c:v>3.5541034224074308</c:v>
                </c:pt>
                <c:pt idx="33">
                  <c:v>3.5677954723579979</c:v>
                </c:pt>
                <c:pt idx="34">
                  <c:v>3.5786694203809444</c:v>
                </c:pt>
                <c:pt idx="35">
                  <c:v>3.5879336708781335</c:v>
                </c:pt>
                <c:pt idx="36">
                  <c:v>3.5958379035219714</c:v>
                </c:pt>
                <c:pt idx="37">
                  <c:v>3.6010958313785757</c:v>
                </c:pt>
                <c:pt idx="38">
                  <c:v>3.6059687078387297</c:v>
                </c:pt>
                <c:pt idx="39">
                  <c:v>3.6094714428898778</c:v>
                </c:pt>
                <c:pt idx="40">
                  <c:v>3.6121824772421909</c:v>
                </c:pt>
                <c:pt idx="41">
                  <c:v>3.6148768183643694</c:v>
                </c:pt>
                <c:pt idx="42">
                  <c:v>3.6168498099613067</c:v>
                </c:pt>
                <c:pt idx="43">
                  <c:v>3.6196688987830439</c:v>
                </c:pt>
                <c:pt idx="44">
                  <c:v>3.6216712380638403</c:v>
                </c:pt>
                <c:pt idx="45">
                  <c:v>3.6245303062975811</c:v>
                </c:pt>
                <c:pt idx="46">
                  <c:v>3.6278036763896369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4-4209-8452-E5B795F160D1}"/>
            </c:ext>
          </c:extLst>
        </c:ser>
        <c:ser>
          <c:idx val="1"/>
          <c:order val="2"/>
          <c:marker>
            <c:symbol val="none"/>
          </c:marker>
          <c:cat>
            <c:numRef>
              <c:f>'Gráfico 19'!$B$4:$B$50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 19'!$C$4:$C$53</c:f>
              <c:numCache>
                <c:formatCode>0.00</c:formatCode>
                <c:ptCount val="50"/>
                <c:pt idx="0">
                  <c:v>4.0631713772665101</c:v>
                </c:pt>
                <c:pt idx="1">
                  <c:v>4.0365116570536896</c:v>
                </c:pt>
                <c:pt idx="2">
                  <c:v>3.9798076357339869</c:v>
                </c:pt>
                <c:pt idx="3">
                  <c:v>3.953209159736736</c:v>
                </c:pt>
                <c:pt idx="4">
                  <c:v>3.9380491591904758</c:v>
                </c:pt>
                <c:pt idx="5">
                  <c:v>3.9204402783694525</c:v>
                </c:pt>
                <c:pt idx="6">
                  <c:v>3.8988162501084047</c:v>
                </c:pt>
                <c:pt idx="7">
                  <c:v>3.869360779728416</c:v>
                </c:pt>
                <c:pt idx="8">
                  <c:v>3.8270409720638701</c:v>
                </c:pt>
                <c:pt idx="9">
                  <c:v>3.7753420016038084</c:v>
                </c:pt>
                <c:pt idx="10">
                  <c:v>3.7204850242906589</c:v>
                </c:pt>
                <c:pt idx="11">
                  <c:v>3.6669804095370915</c:v>
                </c:pt>
                <c:pt idx="12">
                  <c:v>3.6154851444705094</c:v>
                </c:pt>
                <c:pt idx="13">
                  <c:v>3.567627187762946</c:v>
                </c:pt>
                <c:pt idx="14">
                  <c:v>3.5258243352973673</c:v>
                </c:pt>
                <c:pt idx="15">
                  <c:v>3.4893196000230193</c:v>
                </c:pt>
                <c:pt idx="16">
                  <c:v>3.4587619358500499</c:v>
                </c:pt>
                <c:pt idx="17">
                  <c:v>3.4339733128728658</c:v>
                </c:pt>
                <c:pt idx="18">
                  <c:v>3.4164446198088103</c:v>
                </c:pt>
                <c:pt idx="19">
                  <c:v>3.4061514277384597</c:v>
                </c:pt>
                <c:pt idx="20">
                  <c:v>3.4002990557258581</c:v>
                </c:pt>
                <c:pt idx="21">
                  <c:v>3.4005197067793231</c:v>
                </c:pt>
                <c:pt idx="22">
                  <c:v>3.4053097521287468</c:v>
                </c:pt>
                <c:pt idx="23">
                  <c:v>3.4144637253599388</c:v>
                </c:pt>
                <c:pt idx="24">
                  <c:v>3.4271440769306918</c:v>
                </c:pt>
                <c:pt idx="25">
                  <c:v>3.44183327317482</c:v>
                </c:pt>
                <c:pt idx="26">
                  <c:v>3.45838972727487</c:v>
                </c:pt>
                <c:pt idx="27">
                  <c:v>3.4748506744854706</c:v>
                </c:pt>
                <c:pt idx="28">
                  <c:v>3.4916425891652372</c:v>
                </c:pt>
                <c:pt idx="29">
                  <c:v>3.5082027321941038</c:v>
                </c:pt>
                <c:pt idx="30">
                  <c:v>3.5241608047731083</c:v>
                </c:pt>
                <c:pt idx="31">
                  <c:v>3.5400147730618357</c:v>
                </c:pt>
                <c:pt idx="32">
                  <c:v>3.5541034224074308</c:v>
                </c:pt>
                <c:pt idx="33">
                  <c:v>3.5677954723579979</c:v>
                </c:pt>
                <c:pt idx="34">
                  <c:v>3.5786694203809444</c:v>
                </c:pt>
                <c:pt idx="35">
                  <c:v>3.5879336708781335</c:v>
                </c:pt>
                <c:pt idx="36">
                  <c:v>3.5958379035219714</c:v>
                </c:pt>
                <c:pt idx="37">
                  <c:v>3.6010958313785757</c:v>
                </c:pt>
                <c:pt idx="38">
                  <c:v>3.6059687078387297</c:v>
                </c:pt>
                <c:pt idx="39">
                  <c:v>3.6094714428898778</c:v>
                </c:pt>
                <c:pt idx="40">
                  <c:v>3.6121824772421909</c:v>
                </c:pt>
                <c:pt idx="41">
                  <c:v>3.6148768183643694</c:v>
                </c:pt>
                <c:pt idx="42">
                  <c:v>3.6168498099613067</c:v>
                </c:pt>
                <c:pt idx="43">
                  <c:v>3.6196688987830439</c:v>
                </c:pt>
                <c:pt idx="44">
                  <c:v>3.6216712380638403</c:v>
                </c:pt>
                <c:pt idx="45">
                  <c:v>3.6245303062975811</c:v>
                </c:pt>
                <c:pt idx="46">
                  <c:v>3.6278036763896369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4-4209-8452-E5B795F160D1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9.7222222222222224E-2"/>
                  <c:y val="0.1296296296296295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69C4CB68-74CF-4E23-AF3C-DEB262B5DE6D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654-4209-8452-E5B795F160D1}"/>
                </c:ext>
              </c:extLst>
            </c:dLbl>
            <c:dLbl>
              <c:idx val="46"/>
              <c:layout>
                <c:manualLayout>
                  <c:x val="-5.8333223972003398E-2"/>
                  <c:y val="0.10416684893554973"/>
                </c:manualLayout>
              </c:layout>
              <c:numFmt formatCode="#,##0.0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9.091666666666666E-2"/>
                      <c:h val="0.131666666666666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654-4209-8452-E5B795F160D1}"/>
                </c:ext>
              </c:extLst>
            </c:dLbl>
            <c:dLbl>
              <c:idx val="49"/>
              <c:layout>
                <c:manualLayout>
                  <c:x val="-4.1666666666666664E-2"/>
                  <c:y val="0.126018518518518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9DCD0717-D4B7-4372-B6FE-A4796214D754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654-4209-8452-E5B795F160D1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'Gráfico 19'!$B$4:$B$50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 19'!$C$4:$C$50</c:f>
              <c:numCache>
                <c:formatCode>0.00</c:formatCode>
                <c:ptCount val="47"/>
                <c:pt idx="0">
                  <c:v>4.0631713772665101</c:v>
                </c:pt>
                <c:pt idx="1">
                  <c:v>4.0365116570536896</c:v>
                </c:pt>
                <c:pt idx="2">
                  <c:v>3.9798076357339869</c:v>
                </c:pt>
                <c:pt idx="3">
                  <c:v>3.953209159736736</c:v>
                </c:pt>
                <c:pt idx="4">
                  <c:v>3.9380491591904758</c:v>
                </c:pt>
                <c:pt idx="5">
                  <c:v>3.9204402783694525</c:v>
                </c:pt>
                <c:pt idx="6">
                  <c:v>3.8988162501084047</c:v>
                </c:pt>
                <c:pt idx="7">
                  <c:v>3.869360779728416</c:v>
                </c:pt>
                <c:pt idx="8">
                  <c:v>3.8270409720638701</c:v>
                </c:pt>
                <c:pt idx="9">
                  <c:v>3.7753420016038084</c:v>
                </c:pt>
                <c:pt idx="10">
                  <c:v>3.7204850242906589</c:v>
                </c:pt>
                <c:pt idx="11">
                  <c:v>3.6669804095370915</c:v>
                </c:pt>
                <c:pt idx="12">
                  <c:v>3.6154851444705094</c:v>
                </c:pt>
                <c:pt idx="13">
                  <c:v>3.567627187762946</c:v>
                </c:pt>
                <c:pt idx="14">
                  <c:v>3.5258243352973673</c:v>
                </c:pt>
                <c:pt idx="15">
                  <c:v>3.4893196000230193</c:v>
                </c:pt>
                <c:pt idx="16">
                  <c:v>3.4587619358500499</c:v>
                </c:pt>
                <c:pt idx="17">
                  <c:v>3.4339733128728658</c:v>
                </c:pt>
                <c:pt idx="18">
                  <c:v>3.4164446198088103</c:v>
                </c:pt>
                <c:pt idx="19">
                  <c:v>3.4061514277384597</c:v>
                </c:pt>
                <c:pt idx="20">
                  <c:v>3.4002990557258581</c:v>
                </c:pt>
                <c:pt idx="21">
                  <c:v>3.4005197067793231</c:v>
                </c:pt>
                <c:pt idx="22">
                  <c:v>3.4053097521287468</c:v>
                </c:pt>
                <c:pt idx="23">
                  <c:v>3.4144637253599388</c:v>
                </c:pt>
                <c:pt idx="24">
                  <c:v>3.4271440769306918</c:v>
                </c:pt>
                <c:pt idx="25">
                  <c:v>3.44183327317482</c:v>
                </c:pt>
                <c:pt idx="26">
                  <c:v>3.45838972727487</c:v>
                </c:pt>
                <c:pt idx="27">
                  <c:v>3.4748506744854706</c:v>
                </c:pt>
                <c:pt idx="28">
                  <c:v>3.4916425891652372</c:v>
                </c:pt>
                <c:pt idx="29">
                  <c:v>3.5082027321941038</c:v>
                </c:pt>
                <c:pt idx="30">
                  <c:v>3.5241608047731083</c:v>
                </c:pt>
                <c:pt idx="31">
                  <c:v>3.5400147730618357</c:v>
                </c:pt>
                <c:pt idx="32">
                  <c:v>3.5541034224074308</c:v>
                </c:pt>
                <c:pt idx="33">
                  <c:v>3.5677954723579979</c:v>
                </c:pt>
                <c:pt idx="34">
                  <c:v>3.5786694203809444</c:v>
                </c:pt>
                <c:pt idx="35">
                  <c:v>3.5879336708781335</c:v>
                </c:pt>
                <c:pt idx="36">
                  <c:v>3.5958379035219714</c:v>
                </c:pt>
                <c:pt idx="37">
                  <c:v>3.6010958313785757</c:v>
                </c:pt>
                <c:pt idx="38">
                  <c:v>3.6059687078387297</c:v>
                </c:pt>
                <c:pt idx="39">
                  <c:v>3.6094714428898778</c:v>
                </c:pt>
                <c:pt idx="40">
                  <c:v>3.6121824772421909</c:v>
                </c:pt>
                <c:pt idx="41">
                  <c:v>3.6148768183643694</c:v>
                </c:pt>
                <c:pt idx="42">
                  <c:v>3.6168498099613067</c:v>
                </c:pt>
                <c:pt idx="43">
                  <c:v>3.6196688987830439</c:v>
                </c:pt>
                <c:pt idx="44">
                  <c:v>3.6216712380638403</c:v>
                </c:pt>
                <c:pt idx="45">
                  <c:v>3.6245303062975811</c:v>
                </c:pt>
                <c:pt idx="46">
                  <c:v>3.6278036763896369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54-4209-8452-E5B795F16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96640"/>
        <c:axId val="1017609536"/>
      </c:lineChart>
      <c:catAx>
        <c:axId val="10175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609536"/>
        <c:crosses val="autoZero"/>
        <c:auto val="1"/>
        <c:lblAlgn val="ctr"/>
        <c:lblOffset val="100"/>
        <c:noMultiLvlLbl val="0"/>
      </c:catAx>
      <c:valAx>
        <c:axId val="1017609536"/>
        <c:scaling>
          <c:orientation val="minMax"/>
          <c:min val="3.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17596640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290445202615231E-2"/>
          <c:y val="2.3018785523635076E-2"/>
          <c:w val="0.97021132232829543"/>
          <c:h val="0.9311345226687428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'Gráfico 20'!$C$5</c:f>
              <c:strCache>
                <c:ptCount val="1"/>
                <c:pt idx="0">
                  <c:v>Crecimiento por demografía</c:v>
                </c:pt>
              </c:strCache>
            </c:strRef>
          </c:tx>
          <c:spPr>
            <a:pattFill prst="pct30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25000"/>
                </a:schemeClr>
              </a:solidFill>
              <a:prstDash val="sysDot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20'!$D$5:$CA$5</c15:sqref>
                  </c15:fullRef>
                </c:ext>
              </c:extLst>
              <c:f>'Gráfico 20'!$Y$5:$CA$5</c:f>
              <c:numCache>
                <c:formatCode>#,##0.0</c:formatCode>
                <c:ptCount val="55"/>
                <c:pt idx="0" formatCode="0.0">
                  <c:v>-0.64412265319345086</c:v>
                </c:pt>
                <c:pt idx="1" formatCode="0.0">
                  <c:v>-0.36998263421425504</c:v>
                </c:pt>
                <c:pt idx="2" formatCode="0.0">
                  <c:v>8.305450994332543E-2</c:v>
                </c:pt>
                <c:pt idx="3" formatCode="0.0">
                  <c:v>0.48966321923877654</c:v>
                </c:pt>
                <c:pt idx="4" formatCode="0.0">
                  <c:v>-0.32983553216269507</c:v>
                </c:pt>
                <c:pt idx="5" formatCode="0.0">
                  <c:v>-0.3037874528596991</c:v>
                </c:pt>
                <c:pt idx="6" formatCode="0.0">
                  <c:v>0.47875324741644298</c:v>
                </c:pt>
                <c:pt idx="7" formatCode="0.0">
                  <c:v>1.3731141339441613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C-4C8E-AAFC-8EC8693BE4F6}"/>
            </c:ext>
          </c:extLst>
        </c:ser>
        <c:ser>
          <c:idx val="0"/>
          <c:order val="1"/>
          <c:tx>
            <c:strRef>
              <c:f>'Gráfico 20'!$C$6</c:f>
              <c:strCache>
                <c:ptCount val="1"/>
                <c:pt idx="0">
                  <c:v>Crecimiento por otros factores</c:v>
                </c:pt>
              </c:strCache>
            </c:strRef>
          </c:tx>
          <c:spPr>
            <a:pattFill prst="pct30">
              <a:fgClr>
                <a:srgbClr val="8C2633"/>
              </a:fgClr>
              <a:bgClr>
                <a:schemeClr val="bg1"/>
              </a:bgClr>
            </a:pattFill>
            <a:ln>
              <a:solidFill>
                <a:srgbClr val="8C2633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20'!$D$6:$CA$6</c15:sqref>
                  </c15:fullRef>
                </c:ext>
              </c:extLst>
              <c:f>'Gráfico 20'!$Y$6:$CA$6</c:f>
              <c:numCache>
                <c:formatCode>#,##0.0</c:formatCode>
                <c:ptCount val="55"/>
                <c:pt idx="0" formatCode="0.0">
                  <c:v>3.0455339902443219</c:v>
                </c:pt>
                <c:pt idx="1" formatCode="0.0">
                  <c:v>3.2316272487075968</c:v>
                </c:pt>
                <c:pt idx="2" formatCode="0.0">
                  <c:v>3.3013333855911964</c:v>
                </c:pt>
                <c:pt idx="3" formatCode="0.0">
                  <c:v>4.9548726202891071</c:v>
                </c:pt>
                <c:pt idx="4" formatCode="0.0">
                  <c:v>5.0734302325079357</c:v>
                </c:pt>
                <c:pt idx="5" formatCode="0.0">
                  <c:v>6.4800590579825812</c:v>
                </c:pt>
                <c:pt idx="6" formatCode="0.0">
                  <c:v>3.7293441471860911</c:v>
                </c:pt>
                <c:pt idx="7" formatCode="0.0">
                  <c:v>4.8970494273783691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80C-4C8E-AAFC-8EC8693BE4F6}"/>
            </c:ext>
          </c:extLst>
        </c:ser>
        <c:ser>
          <c:idx val="3"/>
          <c:order val="3"/>
          <c:tx>
            <c:strRef>
              <c:f>'Gráfico 20'!$C$8</c:f>
              <c:strCache>
                <c:ptCount val="1"/>
                <c:pt idx="0">
                  <c:v>Crecimiento por demografía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20'!$D$8:$CA$8</c15:sqref>
                  </c15:fullRef>
                </c:ext>
              </c:extLst>
              <c:f>'Gráfico 20'!$Y$8:$CA$8</c:f>
              <c:numCache>
                <c:formatCode>#,##0.0</c:formatCode>
                <c:ptCount val="55"/>
                <c:pt idx="8" formatCode="0.0">
                  <c:v>0.95481668620379956</c:v>
                </c:pt>
                <c:pt idx="9" formatCode="0.0">
                  <c:v>0.961133225424463</c:v>
                </c:pt>
                <c:pt idx="10" formatCode="0.0">
                  <c:v>3.5397202137602501E-2</c:v>
                </c:pt>
                <c:pt idx="11" formatCode="0.0">
                  <c:v>-0.34249515512070811</c:v>
                </c:pt>
                <c:pt idx="12" formatCode="0.0">
                  <c:v>-0.48111189349168021</c:v>
                </c:pt>
                <c:pt idx="13" formatCode="0.0">
                  <c:v>-0.6770581675190549</c:v>
                </c:pt>
                <c:pt idx="14" formatCode="0.0">
                  <c:v>-0.55393853505597401</c:v>
                </c:pt>
                <c:pt idx="15" formatCode="0.0">
                  <c:v>-0.80483886851560271</c:v>
                </c:pt>
                <c:pt idx="16" formatCode="0.0">
                  <c:v>-0.57945829074788058</c:v>
                </c:pt>
                <c:pt idx="17" formatCode="0.0">
                  <c:v>-0.4597326558343699</c:v>
                </c:pt>
                <c:pt idx="18" formatCode="0.0">
                  <c:v>-0.42410857779069461</c:v>
                </c:pt>
                <c:pt idx="19" formatCode="0.0">
                  <c:v>-0.2741975979613735</c:v>
                </c:pt>
                <c:pt idx="20" formatCode="0.0">
                  <c:v>-0.17601953951370555</c:v>
                </c:pt>
                <c:pt idx="21" formatCode="0.0">
                  <c:v>3.1041291843659502E-2</c:v>
                </c:pt>
                <c:pt idx="22" formatCode="0.0">
                  <c:v>0.11931048850061581</c:v>
                </c:pt>
                <c:pt idx="23" formatCode="0.0">
                  <c:v>0.25279002743029894</c:v>
                </c:pt>
                <c:pt idx="24" formatCode="0.0">
                  <c:v>0.45452935958573315</c:v>
                </c:pt>
                <c:pt idx="25" formatCode="0.0">
                  <c:v>0.57290931824461322</c:v>
                </c:pt>
                <c:pt idx="26" formatCode="0.0">
                  <c:v>0.74842807729072924</c:v>
                </c:pt>
                <c:pt idx="27" formatCode="0.0">
                  <c:v>0.92845475365717334</c:v>
                </c:pt>
                <c:pt idx="28" formatCode="0.0">
                  <c:v>0.97309176152925325</c:v>
                </c:pt>
                <c:pt idx="29" formatCode="0.0">
                  <c:v>1.1140894380111919</c:v>
                </c:pt>
                <c:pt idx="30" formatCode="0.0">
                  <c:v>1.1027807719487905</c:v>
                </c:pt>
                <c:pt idx="31" formatCode="0.0">
                  <c:v>1.1823502764579963</c:v>
                </c:pt>
                <c:pt idx="32" formatCode="0.0">
                  <c:v>1.1946225934952701</c:v>
                </c:pt>
                <c:pt idx="33" formatCode="0.0">
                  <c:v>1.2177205297974358</c:v>
                </c:pt>
                <c:pt idx="34" formatCode="0.0">
                  <c:v>1.222356103263464</c:v>
                </c:pt>
                <c:pt idx="35" formatCode="0.0">
                  <c:v>1.1665908041934194</c:v>
                </c:pt>
                <c:pt idx="36" formatCode="0.0">
                  <c:v>1.1876363725356271</c:v>
                </c:pt>
                <c:pt idx="37" formatCode="0.0">
                  <c:v>1.1166599955895371</c:v>
                </c:pt>
                <c:pt idx="38" formatCode="0.0">
                  <c:v>1.1338171877239065</c:v>
                </c:pt>
                <c:pt idx="39" formatCode="0.0">
                  <c:v>1.0680782078603892</c:v>
                </c:pt>
                <c:pt idx="40" formatCode="0.0">
                  <c:v>1.0061992916398221</c:v>
                </c:pt>
                <c:pt idx="41" formatCode="0.0">
                  <c:v>0.99475146151113547</c:v>
                </c:pt>
                <c:pt idx="42" formatCode="0.0">
                  <c:v>0.8809011187810577</c:v>
                </c:pt>
                <c:pt idx="43" formatCode="0.0">
                  <c:v>0.83699489929798099</c:v>
                </c:pt>
                <c:pt idx="44" formatCode="0.0">
                  <c:v>0.80947681689154283</c:v>
                </c:pt>
                <c:pt idx="45" formatCode="0.0">
                  <c:v>0.71761027315366055</c:v>
                </c:pt>
                <c:pt idx="46" formatCode="0.0">
                  <c:v>0.76446138189571688</c:v>
                </c:pt>
                <c:pt idx="47" formatCode="0.0">
                  <c:v>0.67255450202532074</c:v>
                </c:pt>
                <c:pt idx="48" formatCode="0.0">
                  <c:v>0.71725465676717548</c:v>
                </c:pt>
                <c:pt idx="49" formatCode="0.0">
                  <c:v>0.68993911236530814</c:v>
                </c:pt>
                <c:pt idx="50" formatCode="0.0">
                  <c:v>0.71215435349651368</c:v>
                </c:pt>
                <c:pt idx="51" formatCode="0.0">
                  <c:v>0.72887168031642302</c:v>
                </c:pt>
                <c:pt idx="52" formatCode="0.0">
                  <c:v>0.71180884189745697</c:v>
                </c:pt>
                <c:pt idx="53" formatCode="0.0">
                  <c:v>0.78319953927617503</c:v>
                </c:pt>
                <c:pt idx="54" formatCode="0.0">
                  <c:v>0.78119944337669267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C-4C8E-AAFC-8EC8693BE4F6}"/>
            </c:ext>
          </c:extLst>
        </c:ser>
        <c:ser>
          <c:idx val="4"/>
          <c:order val="4"/>
          <c:tx>
            <c:strRef>
              <c:f>'Gráfico 20'!$C$9</c:f>
              <c:strCache>
                <c:ptCount val="1"/>
                <c:pt idx="0">
                  <c:v>Crecimiento por otros factores</c:v>
                </c:pt>
              </c:strCache>
            </c:strRef>
          </c:tx>
          <c:spPr>
            <a:solidFill>
              <a:srgbClr val="8C2633"/>
            </a:solidFill>
            <a:ln>
              <a:solidFill>
                <a:srgbClr val="8C2633"/>
              </a:solidFill>
              <a:prstDash val="solid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20'!$D$9:$CA$9</c15:sqref>
                  </c15:fullRef>
                </c:ext>
              </c:extLst>
              <c:f>'Gráfico 20'!$Y$9:$CA$9</c:f>
              <c:numCache>
                <c:formatCode>#,##0.0</c:formatCode>
                <c:ptCount val="55"/>
                <c:pt idx="8" formatCode="0.0">
                  <c:v>4.5603583032143833</c:v>
                </c:pt>
                <c:pt idx="9" formatCode="0.0">
                  <c:v>3.1222148693767791</c:v>
                </c:pt>
                <c:pt idx="10" formatCode="0.0">
                  <c:v>2.6146656673318471</c:v>
                </c:pt>
                <c:pt idx="11" formatCode="0.0">
                  <c:v>3.5468857305360801</c:v>
                </c:pt>
                <c:pt idx="12" formatCode="0.0">
                  <c:v>3.8118223040216268</c:v>
                </c:pt>
                <c:pt idx="13" formatCode="0.0">
                  <c:v>3.9058411423638675</c:v>
                </c:pt>
                <c:pt idx="14" formatCode="0.0">
                  <c:v>3.498786175329692</c:v>
                </c:pt>
                <c:pt idx="15" formatCode="0.0">
                  <c:v>3.3512272978282098</c:v>
                </c:pt>
                <c:pt idx="16" formatCode="0.0">
                  <c:v>2.6998824501311298</c:v>
                </c:pt>
                <c:pt idx="17" formatCode="0.0">
                  <c:v>2.1785760960790141</c:v>
                </c:pt>
                <c:pt idx="18" formatCode="0.0">
                  <c:v>2.0270268002008156</c:v>
                </c:pt>
                <c:pt idx="19" formatCode="0.0">
                  <c:v>1.8894618058418915</c:v>
                </c:pt>
                <c:pt idx="20" formatCode="0.0">
                  <c:v>1.8352461789734709</c:v>
                </c:pt>
                <c:pt idx="21" formatCode="0.0">
                  <c:v>1.722636835585333</c:v>
                </c:pt>
                <c:pt idx="22" formatCode="0.0">
                  <c:v>1.7630964740389021</c:v>
                </c:pt>
                <c:pt idx="23" formatCode="0.0">
                  <c:v>1.7592089942022171</c:v>
                </c:pt>
                <c:pt idx="24" formatCode="0.0">
                  <c:v>1.7681212837372098</c:v>
                </c:pt>
                <c:pt idx="25" formatCode="0.0">
                  <c:v>1.8240735094999292</c:v>
                </c:pt>
                <c:pt idx="26" formatCode="0.0">
                  <c:v>1.849615408210882</c:v>
                </c:pt>
                <c:pt idx="27" formatCode="0.0">
                  <c:v>1.9072961184908286</c:v>
                </c:pt>
                <c:pt idx="28" formatCode="0.0">
                  <c:v>1.9979639756023582</c:v>
                </c:pt>
                <c:pt idx="29" formatCode="0.0">
                  <c:v>2.0591912672081696</c:v>
                </c:pt>
                <c:pt idx="30" formatCode="0.0">
                  <c:v>2.2322686983747571</c:v>
                </c:pt>
                <c:pt idx="31" formatCode="0.0">
                  <c:v>2.3082688597167702</c:v>
                </c:pt>
                <c:pt idx="32" formatCode="0.0">
                  <c:v>2.4315713322298045</c:v>
                </c:pt>
                <c:pt idx="33" formatCode="0.0">
                  <c:v>2.4839012878493367</c:v>
                </c:pt>
                <c:pt idx="34" formatCode="0.0">
                  <c:v>2.5658120255534849</c:v>
                </c:pt>
                <c:pt idx="35" formatCode="0.0">
                  <c:v>2.6402740059173686</c:v>
                </c:pt>
                <c:pt idx="36" formatCode="0.0">
                  <c:v>2.6641324973905038</c:v>
                </c:pt>
                <c:pt idx="37" formatCode="0.0">
                  <c:v>2.7384950180783734</c:v>
                </c:pt>
                <c:pt idx="38" formatCode="0.0">
                  <c:v>2.7336451489976215</c:v>
                </c:pt>
                <c:pt idx="39" formatCode="0.0">
                  <c:v>2.793335074379844</c:v>
                </c:pt>
                <c:pt idx="40" formatCode="0.0">
                  <c:v>2.8082812357876108</c:v>
                </c:pt>
                <c:pt idx="41" formatCode="0.0">
                  <c:v>2.7997210680976918</c:v>
                </c:pt>
                <c:pt idx="42" formatCode="0.0">
                  <c:v>2.8278663020094794</c:v>
                </c:pt>
                <c:pt idx="43" formatCode="0.0">
                  <c:v>2.8021578395613935</c:v>
                </c:pt>
                <c:pt idx="44" formatCode="0.0">
                  <c:v>2.7743131827178118</c:v>
                </c:pt>
                <c:pt idx="45" formatCode="0.0">
                  <c:v>2.764007020407385</c:v>
                </c:pt>
                <c:pt idx="46" formatCode="0.0">
                  <c:v>2.6849096259739</c:v>
                </c:pt>
                <c:pt idx="47" formatCode="0.0">
                  <c:v>2.706006835525713</c:v>
                </c:pt>
                <c:pt idx="48" formatCode="0.0">
                  <c:v>2.6114973491109237</c:v>
                </c:pt>
                <c:pt idx="49" formatCode="0.0">
                  <c:v>2.6036584072943443</c:v>
                </c:pt>
                <c:pt idx="50" formatCode="0.0">
                  <c:v>2.5209908701145314</c:v>
                </c:pt>
                <c:pt idx="51" formatCode="0.0">
                  <c:v>2.4870113398418718</c:v>
                </c:pt>
                <c:pt idx="52" formatCode="0.0">
                  <c:v>2.4481942941154666</c:v>
                </c:pt>
                <c:pt idx="53" formatCode="0.0">
                  <c:v>2.3603968685495356</c:v>
                </c:pt>
                <c:pt idx="54" formatCode="0.0">
                  <c:v>2.3272591888107792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0C-4C8E-AAFC-8EC8693B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120066591"/>
        <c:axId val="685574239"/>
      </c:barChart>
      <c:lineChart>
        <c:grouping val="stacked"/>
        <c:varyColors val="0"/>
        <c:ser>
          <c:idx val="1"/>
          <c:order val="2"/>
          <c:tx>
            <c:strRef>
              <c:f>'Gráfico 20'!$C$7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C2633"/>
              </a:solidFill>
              <a:ln w="9525">
                <a:solidFill>
                  <a:srgbClr val="8C263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20'!$D$7:$AF$7</c15:sqref>
                  </c15:fullRef>
                </c:ext>
              </c:extLst>
              <c:f>'Gráfico 20'!$Y$7:$AF$7</c:f>
              <c:numCache>
                <c:formatCode>#,##0.0</c:formatCode>
                <c:ptCount val="8"/>
                <c:pt idx="0" formatCode="0.0">
                  <c:v>2.4014113370508712</c:v>
                </c:pt>
                <c:pt idx="1" formatCode="0.0">
                  <c:v>2.8616446144933416</c:v>
                </c:pt>
                <c:pt idx="2" formatCode="0.0">
                  <c:v>3.3843878955345224</c:v>
                </c:pt>
                <c:pt idx="3" formatCode="0.0">
                  <c:v>5.4445358395278829</c:v>
                </c:pt>
                <c:pt idx="4" formatCode="0.0">
                  <c:v>4.7435947003452412</c:v>
                </c:pt>
                <c:pt idx="5" formatCode="0.0">
                  <c:v>6.1762716051228814</c:v>
                </c:pt>
                <c:pt idx="6" formatCode="0.0">
                  <c:v>4.2080973946025333</c:v>
                </c:pt>
                <c:pt idx="7" formatCode="0.0">
                  <c:v>6.1569957184953044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80C-4C8E-AAFC-8EC8693BE4F6}"/>
            </c:ext>
          </c:extLst>
        </c:ser>
        <c:ser>
          <c:idx val="5"/>
          <c:order val="5"/>
          <c:tx>
            <c:strRef>
              <c:f>'Gráfico 20'!$C$10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C2633"/>
              </a:solidFill>
              <a:ln w="9525">
                <a:solidFill>
                  <a:srgbClr val="8C263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20'!$D$4:$CA$4</c15:sqref>
                  </c15:fullRef>
                </c:ext>
              </c:extLst>
              <c:f>'Gráfico 20'!$Y$4:$CA$4</c:f>
              <c:numCache>
                <c:formatCode>General</c:formatCode>
                <c:ptCount val="5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  <c:pt idx="54">
                  <c:v>2070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20'!$D$10:$CA$10</c15:sqref>
                  </c15:fullRef>
                </c:ext>
              </c:extLst>
              <c:f>'Gráfico 20'!$Y$10:$CA$10</c:f>
              <c:numCache>
                <c:formatCode>#,##0.0</c:formatCode>
                <c:ptCount val="55"/>
                <c:pt idx="8" formatCode="0.0">
                  <c:v>5.508152087617769</c:v>
                </c:pt>
                <c:pt idx="9" formatCode="0.0">
                  <c:v>4.0833480948012424</c:v>
                </c:pt>
                <c:pt idx="10" formatCode="0.0">
                  <c:v>2.6500628694694495</c:v>
                </c:pt>
                <c:pt idx="11" formatCode="0.0">
                  <c:v>3.2043905754153723</c:v>
                </c:pt>
                <c:pt idx="12" formatCode="0.0">
                  <c:v>3.3307104105299468</c:v>
                </c:pt>
                <c:pt idx="13" formatCode="0.0">
                  <c:v>3.2287829748448127</c:v>
                </c:pt>
                <c:pt idx="14" formatCode="0.0">
                  <c:v>2.9448476402737178</c:v>
                </c:pt>
                <c:pt idx="15" formatCode="0.0">
                  <c:v>2.5463884293126071</c:v>
                </c:pt>
                <c:pt idx="16" formatCode="0.0">
                  <c:v>2.1204241593832496</c:v>
                </c:pt>
                <c:pt idx="17" formatCode="0.0">
                  <c:v>1.718843440244644</c:v>
                </c:pt>
                <c:pt idx="18" formatCode="0.0">
                  <c:v>1.6029182224101213</c:v>
                </c:pt>
                <c:pt idx="19" formatCode="0.0">
                  <c:v>1.6152642078805179</c:v>
                </c:pt>
                <c:pt idx="20" formatCode="0.0">
                  <c:v>1.6592266394597655</c:v>
                </c:pt>
                <c:pt idx="21" formatCode="0.0">
                  <c:v>1.7536781274289925</c:v>
                </c:pt>
                <c:pt idx="22" formatCode="0.0">
                  <c:v>1.8824069625395179</c:v>
                </c:pt>
                <c:pt idx="23" formatCode="0.0">
                  <c:v>2.0119990216325156</c:v>
                </c:pt>
                <c:pt idx="24" formatCode="0.0">
                  <c:v>2.2226506433229432</c:v>
                </c:pt>
                <c:pt idx="25" formatCode="0.0">
                  <c:v>2.3969828277445426</c:v>
                </c:pt>
                <c:pt idx="26" formatCode="0.0">
                  <c:v>2.598043485501611</c:v>
                </c:pt>
                <c:pt idx="27" formatCode="0.0">
                  <c:v>2.8357508721480018</c:v>
                </c:pt>
                <c:pt idx="28" formatCode="0.0">
                  <c:v>2.9710557371316115</c:v>
                </c:pt>
                <c:pt idx="29" formatCode="0.0">
                  <c:v>3.1732807052193612</c:v>
                </c:pt>
                <c:pt idx="30" formatCode="0.0">
                  <c:v>3.3350494703235478</c:v>
                </c:pt>
                <c:pt idx="31" formatCode="0.0">
                  <c:v>3.4906191361747663</c:v>
                </c:pt>
                <c:pt idx="32" formatCode="0.0">
                  <c:v>3.6261939257250742</c:v>
                </c:pt>
                <c:pt idx="33" formatCode="0.0">
                  <c:v>3.7016218176467719</c:v>
                </c:pt>
                <c:pt idx="34" formatCode="0.0">
                  <c:v>3.7881681288169489</c:v>
                </c:pt>
                <c:pt idx="35" formatCode="0.0">
                  <c:v>3.8068648101107883</c:v>
                </c:pt>
                <c:pt idx="36" formatCode="0.0">
                  <c:v>3.851768869926131</c:v>
                </c:pt>
                <c:pt idx="37" formatCode="0.0">
                  <c:v>3.8551550136679102</c:v>
                </c:pt>
                <c:pt idx="38" formatCode="0.0">
                  <c:v>3.8674623367215277</c:v>
                </c:pt>
                <c:pt idx="39" formatCode="0.0">
                  <c:v>3.8614132822402336</c:v>
                </c:pt>
                <c:pt idx="40" formatCode="0.0">
                  <c:v>3.8144805274274329</c:v>
                </c:pt>
                <c:pt idx="41" formatCode="0.0">
                  <c:v>3.7944725296088277</c:v>
                </c:pt>
                <c:pt idx="42" formatCode="0.0">
                  <c:v>3.7087674207905375</c:v>
                </c:pt>
                <c:pt idx="43" formatCode="0.0">
                  <c:v>3.6391527388593747</c:v>
                </c:pt>
                <c:pt idx="44" formatCode="0.0">
                  <c:v>3.5837899996093547</c:v>
                </c:pt>
                <c:pt idx="45" formatCode="0.0">
                  <c:v>3.4816172935610457</c:v>
                </c:pt>
                <c:pt idx="46" formatCode="0.0">
                  <c:v>3.4493710078696171</c:v>
                </c:pt>
                <c:pt idx="47" formatCode="0.0">
                  <c:v>3.3785613375510337</c:v>
                </c:pt>
                <c:pt idx="48" formatCode="0.0">
                  <c:v>3.3287520058780995</c:v>
                </c:pt>
                <c:pt idx="49" formatCode="0.0">
                  <c:v>3.2935975196596523</c:v>
                </c:pt>
                <c:pt idx="50" formatCode="0.0">
                  <c:v>3.2331452236110447</c:v>
                </c:pt>
                <c:pt idx="51" formatCode="0.0">
                  <c:v>3.2158830201582944</c:v>
                </c:pt>
                <c:pt idx="52" formatCode="0.0">
                  <c:v>3.1600031360129233</c:v>
                </c:pt>
                <c:pt idx="53" formatCode="0.0">
                  <c:v>3.1435964078257106</c:v>
                </c:pt>
                <c:pt idx="54" formatCode="0.0">
                  <c:v>3.1084586321874719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0C-4C8E-AAFC-8EC8693B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066591"/>
        <c:axId val="685574239"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noMultiLvlLbl val="0"/>
      </c:catAx>
      <c:valAx>
        <c:axId val="685574239"/>
        <c:scaling>
          <c:orientation val="minMax"/>
          <c:max val="7"/>
          <c:min val="-2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1108053210867237"/>
          <c:y val="0.83635699493559601"/>
          <c:w val="0.56861016100719097"/>
          <c:h val="8.3026993385226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 21'!$B$6</c:f>
              <c:strCache>
                <c:ptCount val="1"/>
                <c:pt idx="0">
                  <c:v>Promedio 2016-2023 crecimiento educación por demografía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 21'!$C$5:$S$5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21'!$C$6:$S$6</c:f>
              <c:numCache>
                <c:formatCode>#,##0.0</c:formatCode>
                <c:ptCount val="17"/>
                <c:pt idx="0">
                  <c:v>-0.51000016325317166</c:v>
                </c:pt>
                <c:pt idx="1">
                  <c:v>0.62685061629499628</c:v>
                </c:pt>
                <c:pt idx="2">
                  <c:v>-0.35540169665589522</c:v>
                </c:pt>
                <c:pt idx="3">
                  <c:v>1.1814563453449389</c:v>
                </c:pt>
                <c:pt idx="4">
                  <c:v>-0.68836129167197235</c:v>
                </c:pt>
                <c:pt idx="5">
                  <c:v>-0.15577985708678493</c:v>
                </c:pt>
                <c:pt idx="6">
                  <c:v>-0.51335345055441328</c:v>
                </c:pt>
                <c:pt idx="7">
                  <c:v>-0.23296055498060414</c:v>
                </c:pt>
                <c:pt idx="8">
                  <c:v>0.46515163279691241</c:v>
                </c:pt>
                <c:pt idx="9">
                  <c:v>0.66210420511007873</c:v>
                </c:pt>
                <c:pt idx="10">
                  <c:v>-1.3370260624334787</c:v>
                </c:pt>
                <c:pt idx="11">
                  <c:v>-0.32808154129444778</c:v>
                </c:pt>
                <c:pt idx="12">
                  <c:v>0.64814498595239711</c:v>
                </c:pt>
                <c:pt idx="13">
                  <c:v>0.24029627727074901</c:v>
                </c:pt>
                <c:pt idx="14">
                  <c:v>1.107791658905604</c:v>
                </c:pt>
                <c:pt idx="15">
                  <c:v>0.48028529149569937</c:v>
                </c:pt>
                <c:pt idx="16">
                  <c:v>0.24506541848517802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C-4CAD-89F2-4593FDEF67A9}"/>
            </c:ext>
          </c:extLst>
        </c:ser>
        <c:ser>
          <c:idx val="1"/>
          <c:order val="1"/>
          <c:tx>
            <c:strRef>
              <c:f>'Gráfico 21'!$B$7</c:f>
              <c:strCache>
                <c:ptCount val="1"/>
                <c:pt idx="0">
                  <c:v>Promedio 2016-2023 crecimiento educación por otros factores</c:v>
                </c:pt>
              </c:strCache>
            </c:strRef>
          </c:tx>
          <c:spPr>
            <a:solidFill>
              <a:srgbClr val="8C2633"/>
            </a:solidFill>
            <a:ln>
              <a:noFill/>
            </a:ln>
            <a:effectLst/>
          </c:spPr>
          <c:invertIfNegative val="0"/>
          <c:cat>
            <c:strRef>
              <c:f>'Gráfico 21'!$C$5:$S$5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21'!$C$7:$S$7</c:f>
              <c:numCache>
                <c:formatCode>#,##0.0</c:formatCode>
                <c:ptCount val="17"/>
                <c:pt idx="0">
                  <c:v>5.0377368957844464</c:v>
                </c:pt>
                <c:pt idx="1">
                  <c:v>3.5722557567747906</c:v>
                </c:pt>
                <c:pt idx="2">
                  <c:v>3.4896750427224745</c:v>
                </c:pt>
                <c:pt idx="3">
                  <c:v>3.6122973986057136</c:v>
                </c:pt>
                <c:pt idx="4">
                  <c:v>6.3071363587214302</c:v>
                </c:pt>
                <c:pt idx="5">
                  <c:v>4.6420888416136163</c:v>
                </c:pt>
                <c:pt idx="6">
                  <c:v>3.9004133112269535</c:v>
                </c:pt>
                <c:pt idx="7">
                  <c:v>4.4333903334539846</c:v>
                </c:pt>
                <c:pt idx="8">
                  <c:v>4.3729878551613144</c:v>
                </c:pt>
                <c:pt idx="9">
                  <c:v>4.5240463627174847</c:v>
                </c:pt>
                <c:pt idx="10">
                  <c:v>5.0455062319853905</c:v>
                </c:pt>
                <c:pt idx="11">
                  <c:v>3.4938996530016806</c:v>
                </c:pt>
                <c:pt idx="12">
                  <c:v>3.9229011639904194</c:v>
                </c:pt>
                <c:pt idx="13">
                  <c:v>3.8332551439318818</c:v>
                </c:pt>
                <c:pt idx="14">
                  <c:v>4.4857797721458121</c:v>
                </c:pt>
                <c:pt idx="15">
                  <c:v>3.3711023648176384</c:v>
                </c:pt>
                <c:pt idx="16">
                  <c:v>5.235747120965641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C-4CAD-89F2-4593FDEF6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7377151"/>
        <c:axId val="1157374271"/>
      </c:barChart>
      <c:lineChart>
        <c:grouping val="standard"/>
        <c:varyColors val="0"/>
        <c:ser>
          <c:idx val="2"/>
          <c:order val="2"/>
          <c:tx>
            <c:strRef>
              <c:f>'Gráfico 21'!$B$8</c:f>
              <c:strCache>
                <c:ptCount val="1"/>
                <c:pt idx="0">
                  <c:v>Promedio 2016-2023 crecimiento total gasto educación</c:v>
                </c:pt>
              </c:strCache>
            </c:strRef>
          </c:tx>
          <c:spPr>
            <a:ln w="28575" cap="sq">
              <a:noFill/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cat>
            <c:strRef>
              <c:f>'Gráfico 21'!$C$5:$S$5</c:f>
              <c:strCache>
                <c:ptCount val="17"/>
                <c:pt idx="0">
                  <c:v>AND</c:v>
                </c:pt>
                <c:pt idx="1">
                  <c:v>ARA</c:v>
                </c:pt>
                <c:pt idx="2">
                  <c:v>AST</c:v>
                </c:pt>
                <c:pt idx="3">
                  <c:v>BAL</c:v>
                </c:pt>
                <c:pt idx="4">
                  <c:v>CAN</c:v>
                </c:pt>
                <c:pt idx="5">
                  <c:v>CNT</c:v>
                </c:pt>
                <c:pt idx="6">
                  <c:v>CYL</c:v>
                </c:pt>
                <c:pt idx="7">
                  <c:v>CLM</c:v>
                </c:pt>
                <c:pt idx="8">
                  <c:v>CAT</c:v>
                </c:pt>
                <c:pt idx="9">
                  <c:v>CVA</c:v>
                </c:pt>
                <c:pt idx="10">
                  <c:v>EXT</c:v>
                </c:pt>
                <c:pt idx="11">
                  <c:v>GAL</c:v>
                </c:pt>
                <c:pt idx="12">
                  <c:v>MAD</c:v>
                </c:pt>
                <c:pt idx="13">
                  <c:v>MUR</c:v>
                </c:pt>
                <c:pt idx="14">
                  <c:v>NAV</c:v>
                </c:pt>
                <c:pt idx="15">
                  <c:v>PVA</c:v>
                </c:pt>
                <c:pt idx="16">
                  <c:v>RIO</c:v>
                </c:pt>
              </c:strCache>
            </c:strRef>
          </c:cat>
          <c:val>
            <c:numRef>
              <c:f>'Gráfico 21'!$C$8:$S$8</c:f>
              <c:numCache>
                <c:formatCode>#,##0.0</c:formatCode>
                <c:ptCount val="17"/>
                <c:pt idx="0">
                  <c:v>4.5060575941734946</c:v>
                </c:pt>
                <c:pt idx="1">
                  <c:v>4.1687649630410828</c:v>
                </c:pt>
                <c:pt idx="2">
                  <c:v>3.1106214347592283</c:v>
                </c:pt>
                <c:pt idx="3">
                  <c:v>4.7925030315472759</c:v>
                </c:pt>
                <c:pt idx="4">
                  <c:v>5.5971988172011908</c:v>
                </c:pt>
                <c:pt idx="5">
                  <c:v>4.472584418536627</c:v>
                </c:pt>
                <c:pt idx="6">
                  <c:v>3.3782768141059107</c:v>
                </c:pt>
                <c:pt idx="7">
                  <c:v>4.1963692119835594</c:v>
                </c:pt>
                <c:pt idx="8">
                  <c:v>4.8287815984754952</c:v>
                </c:pt>
                <c:pt idx="9">
                  <c:v>5.1770149836377826</c:v>
                </c:pt>
                <c:pt idx="10">
                  <c:v>3.6496331038291698</c:v>
                </c:pt>
                <c:pt idx="11">
                  <c:v>3.1558315921670741</c:v>
                </c:pt>
                <c:pt idx="12">
                  <c:v>4.5698439368371728</c:v>
                </c:pt>
                <c:pt idx="13">
                  <c:v>4.0721929671660675</c:v>
                </c:pt>
                <c:pt idx="14">
                  <c:v>5.5743528742740214</c:v>
                </c:pt>
                <c:pt idx="15">
                  <c:v>3.8258901784741091</c:v>
                </c:pt>
                <c:pt idx="16">
                  <c:v>5.4356709515497084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C-4CAD-89F2-4593FDEF6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377151"/>
        <c:axId val="1157374271"/>
      </c:lineChart>
      <c:catAx>
        <c:axId val="115737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7374271"/>
        <c:crosses val="autoZero"/>
        <c:auto val="1"/>
        <c:lblAlgn val="ctr"/>
        <c:lblOffset val="100"/>
        <c:noMultiLvlLbl val="0"/>
      </c:catAx>
      <c:valAx>
        <c:axId val="1157374271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737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23'!$C$3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22-4268-A29A-B2518DDC1214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8A-457C-82C3-9C2E0286D476}"/>
              </c:ext>
            </c:extLst>
          </c:dPt>
          <c:cat>
            <c:strRef>
              <c:f>'Gráfico 23'!$B$4:$B$31</c:f>
              <c:strCache>
                <c:ptCount val="28"/>
                <c:pt idx="0">
                  <c:v>EL</c:v>
                </c:pt>
                <c:pt idx="1">
                  <c:v>CY</c:v>
                </c:pt>
                <c:pt idx="2">
                  <c:v>RO</c:v>
                </c:pt>
                <c:pt idx="3">
                  <c:v>EE</c:v>
                </c:pt>
                <c:pt idx="4">
                  <c:v>PT</c:v>
                </c:pt>
                <c:pt idx="5">
                  <c:v>LV</c:v>
                </c:pt>
                <c:pt idx="6">
                  <c:v>HR</c:v>
                </c:pt>
                <c:pt idx="7">
                  <c:v>BG</c:v>
                </c:pt>
                <c:pt idx="8">
                  <c:v>PL</c:v>
                </c:pt>
                <c:pt idx="9">
                  <c:v>HU</c:v>
                </c:pt>
                <c:pt idx="10">
                  <c:v>ES</c:v>
                </c:pt>
                <c:pt idx="11">
                  <c:v>LT</c:v>
                </c:pt>
                <c:pt idx="12">
                  <c:v>SK</c:v>
                </c:pt>
                <c:pt idx="13">
                  <c:v>SI</c:v>
                </c:pt>
                <c:pt idx="14">
                  <c:v>LU</c:v>
                </c:pt>
                <c:pt idx="15">
                  <c:v>MT</c:v>
                </c:pt>
                <c:pt idx="16">
                  <c:v>IE</c:v>
                </c:pt>
                <c:pt idx="17">
                  <c:v>CZ</c:v>
                </c:pt>
                <c:pt idx="18">
                  <c:v>AT</c:v>
                </c:pt>
                <c:pt idx="19">
                  <c:v>IT</c:v>
                </c:pt>
                <c:pt idx="20">
                  <c:v>DE</c:v>
                </c:pt>
                <c:pt idx="21">
                  <c:v>FR</c:v>
                </c:pt>
                <c:pt idx="22">
                  <c:v>FI</c:v>
                </c:pt>
                <c:pt idx="23">
                  <c:v>BE</c:v>
                </c:pt>
                <c:pt idx="24">
                  <c:v>DK</c:v>
                </c:pt>
                <c:pt idx="25">
                  <c:v>SE</c:v>
                </c:pt>
                <c:pt idx="26">
                  <c:v>NL</c:v>
                </c:pt>
                <c:pt idx="27">
                  <c:v>NO</c:v>
                </c:pt>
              </c:strCache>
            </c:strRef>
          </c:cat>
          <c:val>
            <c:numRef>
              <c:f>'Gráfico 23'!$C$4:$C$31</c:f>
              <c:numCache>
                <c:formatCode>0.0</c:formatCode>
                <c:ptCount val="28"/>
                <c:pt idx="0">
                  <c:v>0.138422858598923</c:v>
                </c:pt>
                <c:pt idx="1">
                  <c:v>0.19403249753090734</c:v>
                </c:pt>
                <c:pt idx="2">
                  <c:v>0.34608467286622874</c:v>
                </c:pt>
                <c:pt idx="3">
                  <c:v>0.40443411638943244</c:v>
                </c:pt>
                <c:pt idx="4">
                  <c:v>0.45724408500850472</c:v>
                </c:pt>
                <c:pt idx="5">
                  <c:v>0.48300691197298434</c:v>
                </c:pt>
                <c:pt idx="6">
                  <c:v>0.51259472690247132</c:v>
                </c:pt>
                <c:pt idx="7">
                  <c:v>0.52510239853399798</c:v>
                </c:pt>
                <c:pt idx="8">
                  <c:v>0.52632728297435694</c:v>
                </c:pt>
                <c:pt idx="9">
                  <c:v>0.54631850380542102</c:v>
                </c:pt>
                <c:pt idx="10">
                  <c:v>0.81254952778493705</c:v>
                </c:pt>
                <c:pt idx="11">
                  <c:v>0.97997888640937303</c:v>
                </c:pt>
                <c:pt idx="12">
                  <c:v>0.99638822295749752</c:v>
                </c:pt>
                <c:pt idx="13">
                  <c:v>1.021214773138668</c:v>
                </c:pt>
                <c:pt idx="14">
                  <c:v>1.1060931397407139</c:v>
                </c:pt>
                <c:pt idx="15">
                  <c:v>1.1669911217473135</c:v>
                </c:pt>
                <c:pt idx="16">
                  <c:v>1.2267573785143226</c:v>
                </c:pt>
                <c:pt idx="17">
                  <c:v>1.48153325760083</c:v>
                </c:pt>
                <c:pt idx="18">
                  <c:v>1.5736208018369182</c:v>
                </c:pt>
                <c:pt idx="19">
                  <c:v>1.6364774361964805</c:v>
                </c:pt>
                <c:pt idx="20">
                  <c:v>1.856100223506971</c:v>
                </c:pt>
                <c:pt idx="21">
                  <c:v>1.8961810566493091</c:v>
                </c:pt>
                <c:pt idx="22">
                  <c:v>2.0960484953597551</c:v>
                </c:pt>
                <c:pt idx="23">
                  <c:v>2.3083145366981968</c:v>
                </c:pt>
                <c:pt idx="24">
                  <c:v>2.9816087618959388</c:v>
                </c:pt>
                <c:pt idx="25">
                  <c:v>3.1618759658758004</c:v>
                </c:pt>
                <c:pt idx="26">
                  <c:v>3.8319670870974294</c:v>
                </c:pt>
                <c:pt idx="27">
                  <c:v>4.026959414714022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22-4268-A29A-B2518DDC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218479"/>
        <c:axId val="1993216399"/>
      </c:barChart>
      <c:lineChart>
        <c:grouping val="standard"/>
        <c:varyColors val="0"/>
        <c:ser>
          <c:idx val="1"/>
          <c:order val="1"/>
          <c:tx>
            <c:strRef>
              <c:f>'Gráfico 23'!$D$3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0.132054489852655"/>
                  <c:y val="-0.1135838635608657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Promedio Europeo</a:t>
                    </a:r>
                  </a:p>
                  <a:p>
                    <a:fld id="{7CE300AB-EDFA-4079-99C9-6719EBA38FF9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38521164837713"/>
                      <c:h val="0.1714651802043520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822-4268-A29A-B2518DDC1214}"/>
                </c:ext>
              </c:extLst>
            </c:dLbl>
            <c:spPr>
              <a:noFill/>
              <a:ln w="22225"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23'!$B$4:$B$31</c:f>
              <c:strCache>
                <c:ptCount val="28"/>
                <c:pt idx="0">
                  <c:v>EL</c:v>
                </c:pt>
                <c:pt idx="1">
                  <c:v>CY</c:v>
                </c:pt>
                <c:pt idx="2">
                  <c:v>RO</c:v>
                </c:pt>
                <c:pt idx="3">
                  <c:v>EE</c:v>
                </c:pt>
                <c:pt idx="4">
                  <c:v>PT</c:v>
                </c:pt>
                <c:pt idx="5">
                  <c:v>LV</c:v>
                </c:pt>
                <c:pt idx="6">
                  <c:v>HR</c:v>
                </c:pt>
                <c:pt idx="7">
                  <c:v>BG</c:v>
                </c:pt>
                <c:pt idx="8">
                  <c:v>PL</c:v>
                </c:pt>
                <c:pt idx="9">
                  <c:v>HU</c:v>
                </c:pt>
                <c:pt idx="10">
                  <c:v>ES</c:v>
                </c:pt>
                <c:pt idx="11">
                  <c:v>LT</c:v>
                </c:pt>
                <c:pt idx="12">
                  <c:v>SK</c:v>
                </c:pt>
                <c:pt idx="13">
                  <c:v>SI</c:v>
                </c:pt>
                <c:pt idx="14">
                  <c:v>LU</c:v>
                </c:pt>
                <c:pt idx="15">
                  <c:v>MT</c:v>
                </c:pt>
                <c:pt idx="16">
                  <c:v>IE</c:v>
                </c:pt>
                <c:pt idx="17">
                  <c:v>CZ</c:v>
                </c:pt>
                <c:pt idx="18">
                  <c:v>AT</c:v>
                </c:pt>
                <c:pt idx="19">
                  <c:v>IT</c:v>
                </c:pt>
                <c:pt idx="20">
                  <c:v>DE</c:v>
                </c:pt>
                <c:pt idx="21">
                  <c:v>FR</c:v>
                </c:pt>
                <c:pt idx="22">
                  <c:v>FI</c:v>
                </c:pt>
                <c:pt idx="23">
                  <c:v>BE</c:v>
                </c:pt>
                <c:pt idx="24">
                  <c:v>DK</c:v>
                </c:pt>
                <c:pt idx="25">
                  <c:v>SE</c:v>
                </c:pt>
                <c:pt idx="26">
                  <c:v>NL</c:v>
                </c:pt>
                <c:pt idx="27">
                  <c:v>NO</c:v>
                </c:pt>
              </c:strCache>
            </c:strRef>
          </c:cat>
          <c:val>
            <c:numRef>
              <c:f>'Gráfico 23'!$D$4:$D$31</c:f>
              <c:numCache>
                <c:formatCode>General</c:formatCode>
                <c:ptCount val="28"/>
                <c:pt idx="0">
                  <c:v>1.7</c:v>
                </c:pt>
                <c:pt idx="1">
                  <c:v>1.7</c:v>
                </c:pt>
                <c:pt idx="2">
                  <c:v>1.7</c:v>
                </c:pt>
                <c:pt idx="3">
                  <c:v>1.7</c:v>
                </c:pt>
                <c:pt idx="4">
                  <c:v>1.7</c:v>
                </c:pt>
                <c:pt idx="5">
                  <c:v>1.7</c:v>
                </c:pt>
                <c:pt idx="6">
                  <c:v>1.7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  <c:pt idx="11">
                  <c:v>1.7</c:v>
                </c:pt>
                <c:pt idx="12">
                  <c:v>1.7</c:v>
                </c:pt>
                <c:pt idx="13">
                  <c:v>1.7</c:v>
                </c:pt>
                <c:pt idx="14">
                  <c:v>1.7</c:v>
                </c:pt>
                <c:pt idx="15">
                  <c:v>1.7</c:v>
                </c:pt>
                <c:pt idx="16">
                  <c:v>1.7</c:v>
                </c:pt>
                <c:pt idx="17">
                  <c:v>1.7</c:v>
                </c:pt>
                <c:pt idx="18">
                  <c:v>1.7</c:v>
                </c:pt>
                <c:pt idx="19">
                  <c:v>1.7</c:v>
                </c:pt>
                <c:pt idx="20">
                  <c:v>1.7</c:v>
                </c:pt>
                <c:pt idx="21">
                  <c:v>1.7</c:v>
                </c:pt>
                <c:pt idx="22">
                  <c:v>1.7</c:v>
                </c:pt>
                <c:pt idx="23">
                  <c:v>1.7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22-4268-A29A-B2518DDC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218479"/>
        <c:axId val="1993216399"/>
      </c:lineChart>
      <c:catAx>
        <c:axId val="19932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"/>
                <a:ea typeface="+mn-ea"/>
                <a:cs typeface="+mn-cs"/>
              </a:defRPr>
            </a:pPr>
            <a:endParaRPr lang="es-ES"/>
          </a:p>
        </c:txPr>
        <c:crossAx val="1993216399"/>
        <c:crosses val="autoZero"/>
        <c:auto val="1"/>
        <c:lblAlgn val="ctr"/>
        <c:lblOffset val="100"/>
        <c:noMultiLvlLbl val="0"/>
      </c:catAx>
      <c:valAx>
        <c:axId val="1993216399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"/>
                <a:ea typeface="+mn-ea"/>
                <a:cs typeface="+mn-cs"/>
              </a:defRPr>
            </a:pPr>
            <a:endParaRPr lang="es-ES"/>
          </a:p>
        </c:txPr>
        <c:crossAx val="199321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24 '!$M$3</c:f>
              <c:strCache>
                <c:ptCount val="1"/>
                <c:pt idx="0">
                  <c:v>Hombres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'Gráficos 24 '!$L$4:$L$23</c:f>
              <c:strCache>
                <c:ptCount val="2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 +</c:v>
                </c:pt>
              </c:strCache>
            </c:strRef>
          </c:cat>
          <c:val>
            <c:numRef>
              <c:f>'Gráficos 24 '!$M$4:$M$23</c:f>
              <c:numCache>
                <c:formatCode>0.0%</c:formatCode>
                <c:ptCount val="20"/>
                <c:pt idx="0">
                  <c:v>1.4151044020083351E-2</c:v>
                </c:pt>
                <c:pt idx="1">
                  <c:v>4.1787953480163911E-2</c:v>
                </c:pt>
                <c:pt idx="2">
                  <c:v>3.9270747075056581E-2</c:v>
                </c:pt>
                <c:pt idx="3">
                  <c:v>3.603600109376303E-2</c:v>
                </c:pt>
                <c:pt idx="4">
                  <c:v>2.7675695383117652E-2</c:v>
                </c:pt>
                <c:pt idx="5">
                  <c:v>2.2249544750228351E-2</c:v>
                </c:pt>
                <c:pt idx="6">
                  <c:v>2.0930823366967194E-2</c:v>
                </c:pt>
                <c:pt idx="7">
                  <c:v>2.2100218946535546E-2</c:v>
                </c:pt>
                <c:pt idx="8">
                  <c:v>2.7219960787431809E-2</c:v>
                </c:pt>
                <c:pt idx="9">
                  <c:v>3.6109694347533507E-2</c:v>
                </c:pt>
                <c:pt idx="10">
                  <c:v>4.1270161407618716E-2</c:v>
                </c:pt>
                <c:pt idx="11">
                  <c:v>4.7553480939627774E-2</c:v>
                </c:pt>
                <c:pt idx="12">
                  <c:v>5.2250456219419726E-2</c:v>
                </c:pt>
                <c:pt idx="13">
                  <c:v>5.4055940936796401E-2</c:v>
                </c:pt>
                <c:pt idx="14">
                  <c:v>6.126430473324012E-2</c:v>
                </c:pt>
                <c:pt idx="15">
                  <c:v>8.4789906351388833E-2</c:v>
                </c:pt>
                <c:pt idx="16">
                  <c:v>0.10714223379766548</c:v>
                </c:pt>
                <c:pt idx="17">
                  <c:v>0.13435831599279358</c:v>
                </c:pt>
                <c:pt idx="18">
                  <c:v>9.9410260040221007E-2</c:v>
                </c:pt>
                <c:pt idx="19">
                  <c:v>3.0373256330347462E-2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3-427C-94FB-A7B91633B213}"/>
            </c:ext>
          </c:extLst>
        </c:ser>
        <c:ser>
          <c:idx val="1"/>
          <c:order val="1"/>
          <c:tx>
            <c:strRef>
              <c:f>'Gráficos 24 '!$N$3</c:f>
              <c:strCache>
                <c:ptCount val="1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'Gráficos 24 '!$L$4:$L$23</c:f>
              <c:strCache>
                <c:ptCount val="2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 +</c:v>
                </c:pt>
              </c:strCache>
            </c:strRef>
          </c:cat>
          <c:val>
            <c:numRef>
              <c:f>'Gráficos 24 '!$N$4:$N$23</c:f>
              <c:numCache>
                <c:formatCode>0.0%</c:formatCode>
                <c:ptCount val="20"/>
                <c:pt idx="0">
                  <c:v>4.5705488132148139E-3</c:v>
                </c:pt>
                <c:pt idx="1">
                  <c:v>9.8974399772312933E-3</c:v>
                </c:pt>
                <c:pt idx="2">
                  <c:v>9.7316049136481134E-3</c:v>
                </c:pt>
                <c:pt idx="3">
                  <c:v>1.0399427196726325E-2</c:v>
                </c:pt>
                <c:pt idx="4">
                  <c:v>9.7943533160849919E-3</c:v>
                </c:pt>
                <c:pt idx="5">
                  <c:v>8.5987721482251728E-3</c:v>
                </c:pt>
                <c:pt idx="6">
                  <c:v>8.6054951913434093E-3</c:v>
                </c:pt>
                <c:pt idx="7">
                  <c:v>9.4750087679687338E-3</c:v>
                </c:pt>
                <c:pt idx="8">
                  <c:v>1.235807375850605E-2</c:v>
                </c:pt>
                <c:pt idx="9">
                  <c:v>1.7247967119837122E-2</c:v>
                </c:pt>
                <c:pt idx="10">
                  <c:v>2.0915387140835427E-2</c:v>
                </c:pt>
                <c:pt idx="11">
                  <c:v>2.5669699132615388E-2</c:v>
                </c:pt>
                <c:pt idx="12">
                  <c:v>2.970688652511673E-2</c:v>
                </c:pt>
                <c:pt idx="13">
                  <c:v>3.5620923454792577E-2</c:v>
                </c:pt>
                <c:pt idx="14">
                  <c:v>5.2125994310064511E-2</c:v>
                </c:pt>
                <c:pt idx="15">
                  <c:v>9.9820382698024429E-2</c:v>
                </c:pt>
                <c:pt idx="16">
                  <c:v>0.15849125948369269</c:v>
                </c:pt>
                <c:pt idx="17">
                  <c:v>0.22345826614958994</c:v>
                </c:pt>
                <c:pt idx="18">
                  <c:v>0.18147958491931787</c:v>
                </c:pt>
                <c:pt idx="19">
                  <c:v>7.2032924983164381E-2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3-427C-94FB-A7B91633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170720"/>
        <c:axId val="1433192768"/>
      </c:lineChart>
      <c:catAx>
        <c:axId val="14331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33192768"/>
        <c:crosses val="autoZero"/>
        <c:auto val="1"/>
        <c:lblAlgn val="ctr"/>
        <c:lblOffset val="100"/>
        <c:noMultiLvlLbl val="0"/>
      </c:catAx>
      <c:valAx>
        <c:axId val="1433192768"/>
        <c:scaling>
          <c:orientation val="minMax"/>
          <c:max val="0.25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3317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'Gráficos 25'!$C$5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'Gráficos 25'!$B$6:$B$25</c:f>
              <c:strCache>
                <c:ptCount val="2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 +</c:v>
                </c:pt>
              </c:strCache>
            </c:strRef>
          </c:cat>
          <c:val>
            <c:numRef>
              <c:f>'Gráficos 25'!$C$6:$C$25</c:f>
              <c:numCache>
                <c:formatCode>_(* #,##0.00_);_(* \(#,##0.00\);_(* "-"??_);_(@_)</c:formatCode>
                <c:ptCount val="20"/>
                <c:pt idx="0">
                  <c:v>5814.3843575932524</c:v>
                </c:pt>
                <c:pt idx="1">
                  <c:v>5478.623443835455</c:v>
                </c:pt>
                <c:pt idx="2">
                  <c:v>4906.6744573597362</c:v>
                </c:pt>
                <c:pt idx="3">
                  <c:v>5024.5383833729447</c:v>
                </c:pt>
                <c:pt idx="4">
                  <c:v>8444.8226340718684</c:v>
                </c:pt>
                <c:pt idx="5">
                  <c:v>10990.418967759455</c:v>
                </c:pt>
                <c:pt idx="6">
                  <c:v>12147.745888528101</c:v>
                </c:pt>
                <c:pt idx="7">
                  <c:v>12736.078501769152</c:v>
                </c:pt>
                <c:pt idx="8">
                  <c:v>12347.90086110349</c:v>
                </c:pt>
                <c:pt idx="9">
                  <c:v>12406.561754131772</c:v>
                </c:pt>
                <c:pt idx="10">
                  <c:v>11829.005100234648</c:v>
                </c:pt>
                <c:pt idx="11">
                  <c:v>11153.799133225253</c:v>
                </c:pt>
                <c:pt idx="12">
                  <c:v>10560.841149990276</c:v>
                </c:pt>
                <c:pt idx="13">
                  <c:v>9936.4839213627893</c:v>
                </c:pt>
                <c:pt idx="14">
                  <c:v>9101.3873155127549</c:v>
                </c:pt>
                <c:pt idx="15">
                  <c:v>8310.0696219395759</c:v>
                </c:pt>
                <c:pt idx="16">
                  <c:v>7408.6771650444061</c:v>
                </c:pt>
                <c:pt idx="17">
                  <c:v>7037.0628713678889</c:v>
                </c:pt>
                <c:pt idx="18">
                  <c:v>7129.4821578244109</c:v>
                </c:pt>
                <c:pt idx="19">
                  <c:v>7941.1339625562141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8-4C7C-A6D3-F3B97D07EA3C}"/>
            </c:ext>
          </c:extLst>
        </c:ser>
        <c:ser>
          <c:idx val="1"/>
          <c:order val="1"/>
          <c:tx>
            <c:strRef>
              <c:f>'Gráficos 25'!$D$5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'Gráficos 25'!$B$6:$B$25</c:f>
              <c:strCache>
                <c:ptCount val="2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 +</c:v>
                </c:pt>
              </c:strCache>
            </c:strRef>
          </c:cat>
          <c:val>
            <c:numRef>
              <c:f>'Gráficos 25'!$D$6:$D$25</c:f>
              <c:numCache>
                <c:formatCode>_(* #,##0.00_);_(* \(#,##0.00\);_(* "-"??_);_(@_)</c:formatCode>
                <c:ptCount val="20"/>
                <c:pt idx="0">
                  <c:v>5679.5220755805067</c:v>
                </c:pt>
                <c:pt idx="1">
                  <c:v>5490.560846726632</c:v>
                </c:pt>
                <c:pt idx="2">
                  <c:v>4962.8267461304558</c:v>
                </c:pt>
                <c:pt idx="3">
                  <c:v>5036.3285154893265</c:v>
                </c:pt>
                <c:pt idx="4">
                  <c:v>8474.5439252902652</c:v>
                </c:pt>
                <c:pt idx="5">
                  <c:v>10757.088891839503</c:v>
                </c:pt>
                <c:pt idx="6">
                  <c:v>11970.117181469406</c:v>
                </c:pt>
                <c:pt idx="7">
                  <c:v>12545.214612299453</c:v>
                </c:pt>
                <c:pt idx="8">
                  <c:v>12405.062765127934</c:v>
                </c:pt>
                <c:pt idx="9">
                  <c:v>11617.929544090253</c:v>
                </c:pt>
                <c:pt idx="10">
                  <c:v>10884.964786955285</c:v>
                </c:pt>
                <c:pt idx="11">
                  <c:v>9793.8099849964401</c:v>
                </c:pt>
                <c:pt idx="12">
                  <c:v>8872.708109329802</c:v>
                </c:pt>
                <c:pt idx="13">
                  <c:v>8058.5995378123471</c:v>
                </c:pt>
                <c:pt idx="14">
                  <c:v>7245.3144688474085</c:v>
                </c:pt>
                <c:pt idx="15">
                  <c:v>6994.5255942651293</c:v>
                </c:pt>
                <c:pt idx="16">
                  <c:v>6853.5533239567803</c:v>
                </c:pt>
                <c:pt idx="17">
                  <c:v>7523.8048575280181</c:v>
                </c:pt>
                <c:pt idx="18">
                  <c:v>8700.509445910182</c:v>
                </c:pt>
                <c:pt idx="19">
                  <c:v>10319.416692554845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E8-4C7C-A6D3-F3B97D07EA3C}"/>
            </c:ext>
          </c:extLst>
        </c:ser>
        <c:ser>
          <c:idx val="2"/>
          <c:order val="2"/>
          <c:tx>
            <c:strRef>
              <c:f>'Gráficos 25'!$E$5</c:f>
              <c:strCache>
                <c:ptCount val="1"/>
                <c:pt idx="0">
                  <c:v>Ambos sexos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'Gráficos 25'!$B$6:$B$25</c:f>
              <c:strCache>
                <c:ptCount val="2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 +</c:v>
                </c:pt>
              </c:strCache>
            </c:strRef>
          </c:cat>
          <c:val>
            <c:numRef>
              <c:f>'Gráficos 25'!$E$6:$E$25</c:f>
              <c:numCache>
                <c:formatCode>_(* #,##0.00_);_(* \(#,##0.00\);_(* "-"??_);_(@_)</c:formatCode>
                <c:ptCount val="20"/>
                <c:pt idx="0">
                  <c:v>5766.0278835839426</c:v>
                </c:pt>
                <c:pt idx="1">
                  <c:v>5482.0941353774724</c:v>
                </c:pt>
                <c:pt idx="2">
                  <c:v>4923.5288768507971</c:v>
                </c:pt>
                <c:pt idx="3">
                  <c:v>5028.4656064347873</c:v>
                </c:pt>
                <c:pt idx="4">
                  <c:v>8456.1121267947437</c:v>
                </c:pt>
                <c:pt idx="5">
                  <c:v>10896.901706433326</c:v>
                </c:pt>
                <c:pt idx="6">
                  <c:v>12073.898193502167</c:v>
                </c:pt>
                <c:pt idx="7">
                  <c:v>12654.779637707225</c:v>
                </c:pt>
                <c:pt idx="8">
                  <c:v>12373.053011092828</c:v>
                </c:pt>
                <c:pt idx="9">
                  <c:v>12049.656582310065</c:v>
                </c:pt>
                <c:pt idx="10">
                  <c:v>11387.884202853791</c:v>
                </c:pt>
                <c:pt idx="11">
                  <c:v>10496.915485812744</c:v>
                </c:pt>
                <c:pt idx="12">
                  <c:v>9723.5802169813996</c:v>
                </c:pt>
                <c:pt idx="13">
                  <c:v>8935.9149928117567</c:v>
                </c:pt>
                <c:pt idx="14">
                  <c:v>7995.9795134506076</c:v>
                </c:pt>
                <c:pt idx="15">
                  <c:v>7427.6218616153838</c:v>
                </c:pt>
                <c:pt idx="16">
                  <c:v>7009.4781715496165</c:v>
                </c:pt>
                <c:pt idx="17">
                  <c:v>7398.3063301856837</c:v>
                </c:pt>
                <c:pt idx="18">
                  <c:v>8322.8183440377379</c:v>
                </c:pt>
                <c:pt idx="19">
                  <c:v>9853.5055488458838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E8-4C7C-A6D3-F3B97D07E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170720"/>
        <c:axId val="1433192768"/>
      </c:lineChart>
      <c:catAx>
        <c:axId val="14331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33192768"/>
        <c:crosses val="autoZero"/>
        <c:auto val="1"/>
        <c:lblAlgn val="ctr"/>
        <c:lblOffset val="100"/>
        <c:noMultiLvlLbl val="0"/>
      </c:catAx>
      <c:valAx>
        <c:axId val="1433192768"/>
        <c:scaling>
          <c:orientation val="minMax"/>
          <c:max val="13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43317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Nº beneficiarios AR vs nuestro hombres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'Gráficos 25'!$T$6:$T$25</c:f>
              <c:numCache>
                <c:formatCode>#,##0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9-4264-8449-3EC63A7DEF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'Gráficos 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9-4264-8449-3EC63A7D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615776"/>
        <c:axId val="1017619936"/>
      </c:lineChart>
      <c:catAx>
        <c:axId val="101761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7619936"/>
        <c:crosses val="autoZero"/>
        <c:auto val="1"/>
        <c:lblAlgn val="ctr"/>
        <c:lblOffset val="100"/>
        <c:noMultiLvlLbl val="0"/>
      </c:catAx>
      <c:valAx>
        <c:axId val="10176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76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 26'!$C$4</c:f>
              <c:strCache>
                <c:ptCount val="1"/>
                <c:pt idx="0">
                  <c:v>%PIB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9.7222222222222224E-2"/>
                  <c:y val="0.1435185185185184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r>
                      <a:rPr lang="en-US"/>
                      <a:t>1,4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324-4CB3-8A51-F2C5B14769E8}"/>
                </c:ext>
              </c:extLst>
            </c:dLbl>
            <c:dLbl>
              <c:idx val="46"/>
              <c:layout>
                <c:manualLayout>
                  <c:x val="-5.6944553805774269E-2"/>
                  <c:y val="0.14814833041703124"/>
                </c:manualLayout>
              </c:layout>
              <c:numFmt formatCode="#,##0.0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7.7027777777777778E-2"/>
                      <c:h val="0.16407407407407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324-4CB3-8A51-F2C5B14769E8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26'!$B$5:$B$51</c:f>
              <c:numCache>
                <c:formatCode>General</c:formatCode>
                <c:ptCount val="4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  <c:pt idx="37">
                  <c:v>2061</c:v>
                </c:pt>
                <c:pt idx="38">
                  <c:v>2062</c:v>
                </c:pt>
                <c:pt idx="39">
                  <c:v>2063</c:v>
                </c:pt>
                <c:pt idx="40">
                  <c:v>2064</c:v>
                </c:pt>
                <c:pt idx="41">
                  <c:v>2065</c:v>
                </c:pt>
                <c:pt idx="42">
                  <c:v>2066</c:v>
                </c:pt>
                <c:pt idx="43">
                  <c:v>2067</c:v>
                </c:pt>
                <c:pt idx="44">
                  <c:v>2068</c:v>
                </c:pt>
                <c:pt idx="45">
                  <c:v>2069</c:v>
                </c:pt>
                <c:pt idx="46">
                  <c:v>2070</c:v>
                </c:pt>
              </c:numCache>
            </c:numRef>
          </c:cat>
          <c:val>
            <c:numRef>
              <c:f>'Gráfico 26'!$C$5:$C$51</c:f>
              <c:numCache>
                <c:formatCode>0.00</c:formatCode>
                <c:ptCount val="47"/>
                <c:pt idx="0">
                  <c:v>0.79982749962524124</c:v>
                </c:pt>
                <c:pt idx="1">
                  <c:v>0.81873673803471214</c:v>
                </c:pt>
                <c:pt idx="2">
                  <c:v>0.82252934700969493</c:v>
                </c:pt>
                <c:pt idx="3">
                  <c:v>0.8200145492907589</c:v>
                </c:pt>
                <c:pt idx="4">
                  <c:v>0.83291653310435176</c:v>
                </c:pt>
                <c:pt idx="5">
                  <c:v>0.84674223803358895</c:v>
                </c:pt>
                <c:pt idx="6">
                  <c:v>0.86632680288995834</c:v>
                </c:pt>
                <c:pt idx="7">
                  <c:v>0.8922573861483033</c:v>
                </c:pt>
                <c:pt idx="8">
                  <c:v>0.9131656308471936</c:v>
                </c:pt>
                <c:pt idx="9">
                  <c:v>0.9369834444580275</c:v>
                </c:pt>
                <c:pt idx="10">
                  <c:v>0.96281024416091965</c:v>
                </c:pt>
                <c:pt idx="11">
                  <c:v>0.98682948791418146</c:v>
                </c:pt>
                <c:pt idx="12">
                  <c:v>1.0140925768327189</c:v>
                </c:pt>
                <c:pt idx="13">
                  <c:v>1.0386235140289679</c:v>
                </c:pt>
                <c:pt idx="14">
                  <c:v>1.0668262851641368</c:v>
                </c:pt>
                <c:pt idx="15">
                  <c:v>1.0977801688501259</c:v>
                </c:pt>
                <c:pt idx="16">
                  <c:v>1.1266200394415276</c:v>
                </c:pt>
                <c:pt idx="17">
                  <c:v>1.1553837933909843</c:v>
                </c:pt>
                <c:pt idx="18">
                  <c:v>1.1839203873991806</c:v>
                </c:pt>
                <c:pt idx="19">
                  <c:v>1.2148512983832036</c:v>
                </c:pt>
                <c:pt idx="20">
                  <c:v>1.2467773053616902</c:v>
                </c:pt>
                <c:pt idx="21">
                  <c:v>1.2782649073770167</c:v>
                </c:pt>
                <c:pt idx="22">
                  <c:v>1.3096139449460382</c:v>
                </c:pt>
                <c:pt idx="23">
                  <c:v>1.341041380943222</c:v>
                </c:pt>
                <c:pt idx="24">
                  <c:v>1.3748631405325891</c:v>
                </c:pt>
                <c:pt idx="25">
                  <c:v>1.4087262143273687</c:v>
                </c:pt>
                <c:pt idx="26">
                  <c:v>1.4432639656804418</c:v>
                </c:pt>
                <c:pt idx="27">
                  <c:v>1.4693203531637691</c:v>
                </c:pt>
                <c:pt idx="28">
                  <c:v>1.4942126137103442</c:v>
                </c:pt>
                <c:pt idx="29">
                  <c:v>1.5199491157389922</c:v>
                </c:pt>
                <c:pt idx="30">
                  <c:v>1.5446185028779646</c:v>
                </c:pt>
                <c:pt idx="31">
                  <c:v>1.5703427343809835</c:v>
                </c:pt>
                <c:pt idx="32">
                  <c:v>1.5940582139989621</c:v>
                </c:pt>
                <c:pt idx="33">
                  <c:v>1.6165209814481678</c:v>
                </c:pt>
                <c:pt idx="34">
                  <c:v>1.6379449692928083</c:v>
                </c:pt>
                <c:pt idx="35">
                  <c:v>1.6576131216692878</c:v>
                </c:pt>
                <c:pt idx="36">
                  <c:v>1.6763331864337945</c:v>
                </c:pt>
                <c:pt idx="37">
                  <c:v>1.6931558680643066</c:v>
                </c:pt>
                <c:pt idx="38">
                  <c:v>1.7084122298796298</c:v>
                </c:pt>
                <c:pt idx="39">
                  <c:v>1.7221403723037267</c:v>
                </c:pt>
                <c:pt idx="40">
                  <c:v>1.7332823316084092</c:v>
                </c:pt>
                <c:pt idx="41">
                  <c:v>1.7429327014223011</c:v>
                </c:pt>
                <c:pt idx="42">
                  <c:v>1.7509330301848915</c:v>
                </c:pt>
                <c:pt idx="43">
                  <c:v>1.7573036249573253</c:v>
                </c:pt>
                <c:pt idx="44">
                  <c:v>1.7613117510730973</c:v>
                </c:pt>
                <c:pt idx="45">
                  <c:v>1.7632752803989211</c:v>
                </c:pt>
                <c:pt idx="46">
                  <c:v>1.7630711326927586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4-4CB3-8A51-F2C5B147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880320"/>
        <c:axId val="1229881152"/>
      </c:lineChart>
      <c:catAx>
        <c:axId val="12298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229881152"/>
        <c:crosses val="autoZero"/>
        <c:auto val="1"/>
        <c:lblAlgn val="ctr"/>
        <c:lblOffset val="100"/>
        <c:noMultiLvlLbl val="0"/>
      </c:catAx>
      <c:valAx>
        <c:axId val="1229881152"/>
        <c:scaling>
          <c:orientation val="minMax"/>
          <c:min val="0.5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22988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4D5322E-0683-4106-9407-1451849267BD}" type="doc">
      <dgm:prSet loTypeId="urn:microsoft.com/office/officeart/2005/8/layout/equation1" loCatId="process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s-ES"/>
        </a:p>
      </dgm:t>
    </dgm:pt>
    <dgm:pt modelId="{8BD6E8ED-8BAD-421A-9301-F8F146EF2291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Proyecciones de población</a:t>
          </a:r>
        </a:p>
      </dgm:t>
    </dgm:pt>
    <dgm:pt modelId="{843A3079-8903-43E0-8B19-7EE51BA44DB1}" type="parTrans" cxnId="{552BF386-A530-43ED-B6F2-012D96073B08}">
      <dgm:prSet/>
      <dgm:spPr/>
      <dgm:t>
        <a:bodyPr/>
        <a:lstStyle/>
        <a:p>
          <a:endParaRPr lang="es-ES" sz="1000"/>
        </a:p>
      </dgm:t>
    </dgm:pt>
    <dgm:pt modelId="{4C773C50-345A-47A7-8B48-C48790951C03}" type="sibTrans" cxnId="{552BF386-A530-43ED-B6F2-012D96073B08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232CEDB1-3C4B-4D83-999E-F73AA1EE985E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Gasto per cápita por edad y sexo (coste unitario / perfil de gasto)</a:t>
          </a:r>
        </a:p>
      </dgm:t>
    </dgm:pt>
    <dgm:pt modelId="{7DBABB58-7591-42C8-91C4-230C8C20D113}" type="parTrans" cxnId="{E4B227A6-B074-4781-B512-0676478B44D9}">
      <dgm:prSet/>
      <dgm:spPr/>
      <dgm:t>
        <a:bodyPr/>
        <a:lstStyle/>
        <a:p>
          <a:endParaRPr lang="es-ES" sz="1000"/>
        </a:p>
      </dgm:t>
    </dgm:pt>
    <dgm:pt modelId="{C4E28B56-57F9-4A89-948E-6BBD16595541}" type="sibTrans" cxnId="{E4B227A6-B074-4781-B512-0676478B44D9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ADFD91AE-1CE7-4A5B-AA0D-B04FAFD6A830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Gasto total en sanidad</a:t>
          </a:r>
        </a:p>
      </dgm:t>
    </dgm:pt>
    <dgm:pt modelId="{C89C775E-2860-4837-BF36-829B55E8613C}" type="parTrans" cxnId="{9C840896-4AD0-4FBB-9EE3-7CA424CE7CA6}">
      <dgm:prSet/>
      <dgm:spPr/>
      <dgm:t>
        <a:bodyPr/>
        <a:lstStyle/>
        <a:p>
          <a:endParaRPr lang="es-ES" sz="1000"/>
        </a:p>
      </dgm:t>
    </dgm:pt>
    <dgm:pt modelId="{4F303EB9-3FC7-4510-8CF4-29AEBDEB24F8}" type="sibTrans" cxnId="{9C840896-4AD0-4FBB-9EE3-7CA424CE7CA6}">
      <dgm:prSet/>
      <dgm:spPr/>
      <dgm:t>
        <a:bodyPr/>
        <a:lstStyle/>
        <a:p>
          <a:endParaRPr lang="es-ES" sz="1000"/>
        </a:p>
      </dgm:t>
    </dgm:pt>
    <dgm:pt modelId="{7CEC61A3-8936-409B-BF9F-9D4F6F6CD3F6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Evolución del coste unitario (PIB per cápita nominal)</a:t>
          </a:r>
        </a:p>
      </dgm:t>
    </dgm:pt>
    <dgm:pt modelId="{EA7379C7-A071-4668-827B-5195B6668971}" type="parTrans" cxnId="{2F4B81AE-C33B-4827-BCFE-63FEAA0BBDD3}">
      <dgm:prSet/>
      <dgm:spPr/>
      <dgm:t>
        <a:bodyPr/>
        <a:lstStyle/>
        <a:p>
          <a:endParaRPr lang="es-ES" sz="1000"/>
        </a:p>
      </dgm:t>
    </dgm:pt>
    <dgm:pt modelId="{F86CADE9-99BA-4064-BE2A-0E65AAC6D71A}" type="sibTrans" cxnId="{2F4B81AE-C33B-4827-BCFE-63FEAA0BBDD3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661D0300-4AA4-4618-8455-D3ABF70D1227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Elasticidad renta (1,2, convergencia a 1 en 2070)</a:t>
          </a:r>
        </a:p>
      </dgm:t>
    </dgm:pt>
    <dgm:pt modelId="{FD6F2335-CB52-41E7-A5A1-F1614576341A}" type="parTrans" cxnId="{A646B7B4-CEDA-45B1-8426-06924412BCEB}">
      <dgm:prSet/>
      <dgm:spPr/>
      <dgm:t>
        <a:bodyPr/>
        <a:lstStyle/>
        <a:p>
          <a:endParaRPr lang="es-ES" sz="1000"/>
        </a:p>
      </dgm:t>
    </dgm:pt>
    <dgm:pt modelId="{4F77AFB8-1900-45E7-A157-E88DB3DB5DDF}" type="sibTrans" cxnId="{A646B7B4-CEDA-45B1-8426-06924412BCEB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6F904763-05D1-4596-A757-2A7C679D50B2}" type="pres">
      <dgm:prSet presAssocID="{C4D5322E-0683-4106-9407-1451849267BD}" presName="linearFlow" presStyleCnt="0">
        <dgm:presLayoutVars>
          <dgm:dir/>
          <dgm:resizeHandles val="exact"/>
        </dgm:presLayoutVars>
      </dgm:prSet>
      <dgm:spPr/>
    </dgm:pt>
    <dgm:pt modelId="{06766BE5-9B5F-4160-8BFD-82F83C5CB243}" type="pres">
      <dgm:prSet presAssocID="{8BD6E8ED-8BAD-421A-9301-F8F146EF2291}" presName="node" presStyleLbl="node1" presStyleIdx="0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3DB0E890-A514-45BF-A18A-482A76DA2E52}" type="pres">
      <dgm:prSet presAssocID="{4C773C50-345A-47A7-8B48-C48790951C03}" presName="spacerL" presStyleCnt="0"/>
      <dgm:spPr/>
    </dgm:pt>
    <dgm:pt modelId="{801AC8D9-06CA-4E77-9542-E5874C07F284}" type="pres">
      <dgm:prSet presAssocID="{4C773C50-345A-47A7-8B48-C48790951C03}" presName="sibTrans" presStyleLbl="sibTrans2D1" presStyleIdx="0" presStyleCnt="4"/>
      <dgm:spPr>
        <a:prstGeom prst="mathMultiply">
          <a:avLst/>
        </a:prstGeom>
      </dgm:spPr>
    </dgm:pt>
    <dgm:pt modelId="{3C18AA90-AC9E-4985-BD18-4FF4E05662BD}" type="pres">
      <dgm:prSet presAssocID="{4C773C50-345A-47A7-8B48-C48790951C03}" presName="spacerR" presStyleCnt="0"/>
      <dgm:spPr/>
    </dgm:pt>
    <dgm:pt modelId="{FB013E86-5D65-45BB-920F-C24E05320EBE}" type="pres">
      <dgm:prSet presAssocID="{232CEDB1-3C4B-4D83-999E-F73AA1EE985E}" presName="node" presStyleLbl="node1" presStyleIdx="1" presStyleCnt="5" custScaleX="118087">
        <dgm:presLayoutVars>
          <dgm:bulletEnabled val="1"/>
        </dgm:presLayoutVars>
      </dgm:prSet>
      <dgm:spPr>
        <a:prstGeom prst="rect">
          <a:avLst/>
        </a:prstGeom>
      </dgm:spPr>
    </dgm:pt>
    <dgm:pt modelId="{0C066ABC-2EB0-4009-8184-5D9E87248C14}" type="pres">
      <dgm:prSet presAssocID="{C4E28B56-57F9-4A89-948E-6BBD16595541}" presName="spacerL" presStyleCnt="0"/>
      <dgm:spPr/>
    </dgm:pt>
    <dgm:pt modelId="{06A1E549-9F86-4203-A732-10481A23CEAD}" type="pres">
      <dgm:prSet presAssocID="{C4E28B56-57F9-4A89-948E-6BBD16595541}" presName="sibTrans" presStyleLbl="sibTrans2D1" presStyleIdx="1" presStyleCnt="4"/>
      <dgm:spPr>
        <a:prstGeom prst="mathMultiply">
          <a:avLst/>
        </a:prstGeom>
      </dgm:spPr>
    </dgm:pt>
    <dgm:pt modelId="{BC4D224A-3439-47B1-AFAF-8D2651A8DA35}" type="pres">
      <dgm:prSet presAssocID="{C4E28B56-57F9-4A89-948E-6BBD16595541}" presName="spacerR" presStyleCnt="0"/>
      <dgm:spPr/>
    </dgm:pt>
    <dgm:pt modelId="{6CECEABE-B23D-4A93-B30A-D7F8A438E3B9}" type="pres">
      <dgm:prSet presAssocID="{7CEC61A3-8936-409B-BF9F-9D4F6F6CD3F6}" presName="node" presStyleLbl="node1" presStyleIdx="2" presStyleCnt="5" custScaleX="106467">
        <dgm:presLayoutVars>
          <dgm:bulletEnabled val="1"/>
        </dgm:presLayoutVars>
      </dgm:prSet>
      <dgm:spPr>
        <a:prstGeom prst="rect">
          <a:avLst/>
        </a:prstGeom>
      </dgm:spPr>
    </dgm:pt>
    <dgm:pt modelId="{8FD493B1-5043-4E0C-83AF-2C1555120F7C}" type="pres">
      <dgm:prSet presAssocID="{F86CADE9-99BA-4064-BE2A-0E65AAC6D71A}" presName="spacerL" presStyleCnt="0"/>
      <dgm:spPr/>
    </dgm:pt>
    <dgm:pt modelId="{59436EE3-6FFB-47F3-B4A3-291FC2DE63F4}" type="pres">
      <dgm:prSet presAssocID="{F86CADE9-99BA-4064-BE2A-0E65AAC6D71A}" presName="sibTrans" presStyleLbl="sibTrans2D1" presStyleIdx="2" presStyleCnt="4" custAng="2805415"/>
      <dgm:spPr/>
    </dgm:pt>
    <dgm:pt modelId="{0BC96220-C70E-41F2-A18A-B78D50C4A7CC}" type="pres">
      <dgm:prSet presAssocID="{F86CADE9-99BA-4064-BE2A-0E65AAC6D71A}" presName="spacerR" presStyleCnt="0"/>
      <dgm:spPr/>
    </dgm:pt>
    <dgm:pt modelId="{92B7CAD3-C1EA-4D0E-B464-4527915B19DF}" type="pres">
      <dgm:prSet presAssocID="{661D0300-4AA4-4618-8455-D3ABF70D1227}" presName="node" presStyleLbl="node1" presStyleIdx="3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664A70A4-764F-46D7-ACC2-B1A4040E20F7}" type="pres">
      <dgm:prSet presAssocID="{4F77AFB8-1900-45E7-A157-E88DB3DB5DDF}" presName="spacerL" presStyleCnt="0"/>
      <dgm:spPr/>
    </dgm:pt>
    <dgm:pt modelId="{934BC124-54E8-41FA-A6C9-5E1AA28E747C}" type="pres">
      <dgm:prSet presAssocID="{4F77AFB8-1900-45E7-A157-E88DB3DB5DDF}" presName="sibTrans" presStyleLbl="sibTrans2D1" presStyleIdx="3" presStyleCnt="4"/>
      <dgm:spPr/>
    </dgm:pt>
    <dgm:pt modelId="{0B67B887-5724-4777-B63F-1C7C039AC112}" type="pres">
      <dgm:prSet presAssocID="{4F77AFB8-1900-45E7-A157-E88DB3DB5DDF}" presName="spacerR" presStyleCnt="0"/>
      <dgm:spPr/>
    </dgm:pt>
    <dgm:pt modelId="{D5E8E0AE-23F6-4E76-8328-51470CC4E219}" type="pres">
      <dgm:prSet presAssocID="{ADFD91AE-1CE7-4A5B-AA0D-B04FAFD6A830}" presName="node" presStyleLbl="node1" presStyleIdx="4" presStyleCnt="5">
        <dgm:presLayoutVars>
          <dgm:bulletEnabled val="1"/>
        </dgm:presLayoutVars>
      </dgm:prSet>
      <dgm:spPr>
        <a:prstGeom prst="rect">
          <a:avLst/>
        </a:prstGeom>
      </dgm:spPr>
    </dgm:pt>
  </dgm:ptLst>
  <dgm:cxnLst>
    <dgm:cxn modelId="{89451A3E-0837-4959-A8DB-C9797D1A21A6}" type="presOf" srcId="{8BD6E8ED-8BAD-421A-9301-F8F146EF2291}" destId="{06766BE5-9B5F-4160-8BFD-82F83C5CB243}" srcOrd="0" destOrd="0" presId="urn:microsoft.com/office/officeart/2005/8/layout/equation1"/>
    <dgm:cxn modelId="{52041549-406A-4646-81C2-BACBCB72F3A7}" type="presOf" srcId="{4C773C50-345A-47A7-8B48-C48790951C03}" destId="{801AC8D9-06CA-4E77-9542-E5874C07F284}" srcOrd="0" destOrd="0" presId="urn:microsoft.com/office/officeart/2005/8/layout/equation1"/>
    <dgm:cxn modelId="{08C83771-10B6-46D7-8949-1250AB7DD7C2}" type="presOf" srcId="{C4D5322E-0683-4106-9407-1451849267BD}" destId="{6F904763-05D1-4596-A757-2A7C679D50B2}" srcOrd="0" destOrd="0" presId="urn:microsoft.com/office/officeart/2005/8/layout/equation1"/>
    <dgm:cxn modelId="{DADA9E51-6345-4284-AFF5-48C6F9C2739C}" type="presOf" srcId="{232CEDB1-3C4B-4D83-999E-F73AA1EE985E}" destId="{FB013E86-5D65-45BB-920F-C24E05320EBE}" srcOrd="0" destOrd="0" presId="urn:microsoft.com/office/officeart/2005/8/layout/equation1"/>
    <dgm:cxn modelId="{552BF386-A530-43ED-B6F2-012D96073B08}" srcId="{C4D5322E-0683-4106-9407-1451849267BD}" destId="{8BD6E8ED-8BAD-421A-9301-F8F146EF2291}" srcOrd="0" destOrd="0" parTransId="{843A3079-8903-43E0-8B19-7EE51BA44DB1}" sibTransId="{4C773C50-345A-47A7-8B48-C48790951C03}"/>
    <dgm:cxn modelId="{4C595E88-E9E7-40C2-86C4-796DCF9EFED7}" type="presOf" srcId="{F86CADE9-99BA-4064-BE2A-0E65AAC6D71A}" destId="{59436EE3-6FFB-47F3-B4A3-291FC2DE63F4}" srcOrd="0" destOrd="0" presId="urn:microsoft.com/office/officeart/2005/8/layout/equation1"/>
    <dgm:cxn modelId="{9C840896-4AD0-4FBB-9EE3-7CA424CE7CA6}" srcId="{C4D5322E-0683-4106-9407-1451849267BD}" destId="{ADFD91AE-1CE7-4A5B-AA0D-B04FAFD6A830}" srcOrd="4" destOrd="0" parTransId="{C89C775E-2860-4837-BF36-829B55E8613C}" sibTransId="{4F303EB9-3FC7-4510-8CF4-29AEBDEB24F8}"/>
    <dgm:cxn modelId="{23DC149C-8F52-482F-AEDF-63D74AB133BC}" type="presOf" srcId="{661D0300-4AA4-4618-8455-D3ABF70D1227}" destId="{92B7CAD3-C1EA-4D0E-B464-4527915B19DF}" srcOrd="0" destOrd="0" presId="urn:microsoft.com/office/officeart/2005/8/layout/equation1"/>
    <dgm:cxn modelId="{E4B227A6-B074-4781-B512-0676478B44D9}" srcId="{C4D5322E-0683-4106-9407-1451849267BD}" destId="{232CEDB1-3C4B-4D83-999E-F73AA1EE985E}" srcOrd="1" destOrd="0" parTransId="{7DBABB58-7591-42C8-91C4-230C8C20D113}" sibTransId="{C4E28B56-57F9-4A89-948E-6BBD16595541}"/>
    <dgm:cxn modelId="{2F4B81AE-C33B-4827-BCFE-63FEAA0BBDD3}" srcId="{C4D5322E-0683-4106-9407-1451849267BD}" destId="{7CEC61A3-8936-409B-BF9F-9D4F6F6CD3F6}" srcOrd="2" destOrd="0" parTransId="{EA7379C7-A071-4668-827B-5195B6668971}" sibTransId="{F86CADE9-99BA-4064-BE2A-0E65AAC6D71A}"/>
    <dgm:cxn modelId="{A646B7B4-CEDA-45B1-8426-06924412BCEB}" srcId="{C4D5322E-0683-4106-9407-1451849267BD}" destId="{661D0300-4AA4-4618-8455-D3ABF70D1227}" srcOrd="3" destOrd="0" parTransId="{FD6F2335-CB52-41E7-A5A1-F1614576341A}" sibTransId="{4F77AFB8-1900-45E7-A157-E88DB3DB5DDF}"/>
    <dgm:cxn modelId="{C65397C6-1E49-44AE-9649-D8D18F597F00}" type="presOf" srcId="{4F77AFB8-1900-45E7-A157-E88DB3DB5DDF}" destId="{934BC124-54E8-41FA-A6C9-5E1AA28E747C}" srcOrd="0" destOrd="0" presId="urn:microsoft.com/office/officeart/2005/8/layout/equation1"/>
    <dgm:cxn modelId="{66D7D0D8-FB5B-4B79-8668-66D2150213E5}" type="presOf" srcId="{C4E28B56-57F9-4A89-948E-6BBD16595541}" destId="{06A1E549-9F86-4203-A732-10481A23CEAD}" srcOrd="0" destOrd="0" presId="urn:microsoft.com/office/officeart/2005/8/layout/equation1"/>
    <dgm:cxn modelId="{882EF2D9-738C-4B4B-B2B6-AACC1526A70C}" type="presOf" srcId="{7CEC61A3-8936-409B-BF9F-9D4F6F6CD3F6}" destId="{6CECEABE-B23D-4A93-B30A-D7F8A438E3B9}" srcOrd="0" destOrd="0" presId="urn:microsoft.com/office/officeart/2005/8/layout/equation1"/>
    <dgm:cxn modelId="{D9B98FE8-D721-498C-BC3A-543C43B68011}" type="presOf" srcId="{ADFD91AE-1CE7-4A5B-AA0D-B04FAFD6A830}" destId="{D5E8E0AE-23F6-4E76-8328-51470CC4E219}" srcOrd="0" destOrd="0" presId="urn:microsoft.com/office/officeart/2005/8/layout/equation1"/>
    <dgm:cxn modelId="{513FC5FA-87E6-4B99-B69B-BE34B97C9EC1}" type="presParOf" srcId="{6F904763-05D1-4596-A757-2A7C679D50B2}" destId="{06766BE5-9B5F-4160-8BFD-82F83C5CB243}" srcOrd="0" destOrd="0" presId="urn:microsoft.com/office/officeart/2005/8/layout/equation1"/>
    <dgm:cxn modelId="{BDF335AE-820D-4DA8-B742-EBF302269745}" type="presParOf" srcId="{6F904763-05D1-4596-A757-2A7C679D50B2}" destId="{3DB0E890-A514-45BF-A18A-482A76DA2E52}" srcOrd="1" destOrd="0" presId="urn:microsoft.com/office/officeart/2005/8/layout/equation1"/>
    <dgm:cxn modelId="{A4E21D62-8FF3-4C44-B4C5-DBA622F174B6}" type="presParOf" srcId="{6F904763-05D1-4596-A757-2A7C679D50B2}" destId="{801AC8D9-06CA-4E77-9542-E5874C07F284}" srcOrd="2" destOrd="0" presId="urn:microsoft.com/office/officeart/2005/8/layout/equation1"/>
    <dgm:cxn modelId="{4F715C17-735E-4B82-9D45-146D470BF7CB}" type="presParOf" srcId="{6F904763-05D1-4596-A757-2A7C679D50B2}" destId="{3C18AA90-AC9E-4985-BD18-4FF4E05662BD}" srcOrd="3" destOrd="0" presId="urn:microsoft.com/office/officeart/2005/8/layout/equation1"/>
    <dgm:cxn modelId="{853DA286-2FFD-45E5-8A6E-879C08E43A06}" type="presParOf" srcId="{6F904763-05D1-4596-A757-2A7C679D50B2}" destId="{FB013E86-5D65-45BB-920F-C24E05320EBE}" srcOrd="4" destOrd="0" presId="urn:microsoft.com/office/officeart/2005/8/layout/equation1"/>
    <dgm:cxn modelId="{010A7548-4F4B-487B-9427-1F8B751C0EFF}" type="presParOf" srcId="{6F904763-05D1-4596-A757-2A7C679D50B2}" destId="{0C066ABC-2EB0-4009-8184-5D9E87248C14}" srcOrd="5" destOrd="0" presId="urn:microsoft.com/office/officeart/2005/8/layout/equation1"/>
    <dgm:cxn modelId="{52A2316E-02CD-4A8F-A1BE-757E4F476079}" type="presParOf" srcId="{6F904763-05D1-4596-A757-2A7C679D50B2}" destId="{06A1E549-9F86-4203-A732-10481A23CEAD}" srcOrd="6" destOrd="0" presId="urn:microsoft.com/office/officeart/2005/8/layout/equation1"/>
    <dgm:cxn modelId="{DCC2AE17-536D-4F65-9D5E-650817D592A3}" type="presParOf" srcId="{6F904763-05D1-4596-A757-2A7C679D50B2}" destId="{BC4D224A-3439-47B1-AFAF-8D2651A8DA35}" srcOrd="7" destOrd="0" presId="urn:microsoft.com/office/officeart/2005/8/layout/equation1"/>
    <dgm:cxn modelId="{3A60E5AD-C66B-4494-B7C9-F8C55E8DB612}" type="presParOf" srcId="{6F904763-05D1-4596-A757-2A7C679D50B2}" destId="{6CECEABE-B23D-4A93-B30A-D7F8A438E3B9}" srcOrd="8" destOrd="0" presId="urn:microsoft.com/office/officeart/2005/8/layout/equation1"/>
    <dgm:cxn modelId="{B41F2967-A008-495F-8435-CAE569E60022}" type="presParOf" srcId="{6F904763-05D1-4596-A757-2A7C679D50B2}" destId="{8FD493B1-5043-4E0C-83AF-2C1555120F7C}" srcOrd="9" destOrd="0" presId="urn:microsoft.com/office/officeart/2005/8/layout/equation1"/>
    <dgm:cxn modelId="{BCAE8517-C46E-4D4F-B261-D49ACA260E22}" type="presParOf" srcId="{6F904763-05D1-4596-A757-2A7C679D50B2}" destId="{59436EE3-6FFB-47F3-B4A3-291FC2DE63F4}" srcOrd="10" destOrd="0" presId="urn:microsoft.com/office/officeart/2005/8/layout/equation1"/>
    <dgm:cxn modelId="{D64C540F-6CCF-455A-A60F-46C31C6EB015}" type="presParOf" srcId="{6F904763-05D1-4596-A757-2A7C679D50B2}" destId="{0BC96220-C70E-41F2-A18A-B78D50C4A7CC}" srcOrd="11" destOrd="0" presId="urn:microsoft.com/office/officeart/2005/8/layout/equation1"/>
    <dgm:cxn modelId="{619A8BA0-2B20-4212-8FB0-8320A4612D86}" type="presParOf" srcId="{6F904763-05D1-4596-A757-2A7C679D50B2}" destId="{92B7CAD3-C1EA-4D0E-B464-4527915B19DF}" srcOrd="12" destOrd="0" presId="urn:microsoft.com/office/officeart/2005/8/layout/equation1"/>
    <dgm:cxn modelId="{516E0576-F34E-4C74-8BFA-26746E825A93}" type="presParOf" srcId="{6F904763-05D1-4596-A757-2A7C679D50B2}" destId="{664A70A4-764F-46D7-ACC2-B1A4040E20F7}" srcOrd="13" destOrd="0" presId="urn:microsoft.com/office/officeart/2005/8/layout/equation1"/>
    <dgm:cxn modelId="{6429E552-3A21-4978-9AD1-6FBDA62D2AA5}" type="presParOf" srcId="{6F904763-05D1-4596-A757-2A7C679D50B2}" destId="{934BC124-54E8-41FA-A6C9-5E1AA28E747C}" srcOrd="14" destOrd="0" presId="urn:microsoft.com/office/officeart/2005/8/layout/equation1"/>
    <dgm:cxn modelId="{4A85663C-AAA7-4659-8D88-57313BED585D}" type="presParOf" srcId="{6F904763-05D1-4596-A757-2A7C679D50B2}" destId="{0B67B887-5724-4777-B63F-1C7C039AC112}" srcOrd="15" destOrd="0" presId="urn:microsoft.com/office/officeart/2005/8/layout/equation1"/>
    <dgm:cxn modelId="{E67EC31A-09C1-4F25-B77D-909094BB390D}" type="presParOf" srcId="{6F904763-05D1-4596-A757-2A7C679D50B2}" destId="{D5E8E0AE-23F6-4E76-8328-51470CC4E219}" srcOrd="16" destOrd="0" presId="urn:microsoft.com/office/officeart/2005/8/layout/equati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C4D5322E-0683-4106-9407-1451849267BD}" type="doc">
      <dgm:prSet loTypeId="urn:microsoft.com/office/officeart/2005/8/layout/equation1" loCatId="process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s-ES"/>
        </a:p>
      </dgm:t>
    </dgm:pt>
    <dgm:pt modelId="{8BD6E8ED-8BAD-421A-9301-F8F146EF2291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% crecimiento gasto sanidad</a:t>
          </a:r>
        </a:p>
      </dgm:t>
    </dgm:pt>
    <dgm:pt modelId="{843A3079-8903-43E0-8B19-7EE51BA44DB1}" type="parTrans" cxnId="{552BF386-A530-43ED-B6F2-012D96073B08}">
      <dgm:prSet/>
      <dgm:spPr/>
      <dgm:t>
        <a:bodyPr/>
        <a:lstStyle/>
        <a:p>
          <a:endParaRPr lang="es-ES" sz="1000"/>
        </a:p>
      </dgm:t>
    </dgm:pt>
    <dgm:pt modelId="{4C773C50-345A-47A7-8B48-C48790951C03}" type="sibTrans" cxnId="{552BF386-A530-43ED-B6F2-012D96073B08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232CEDB1-3C4B-4D83-999E-F73AA1EE985E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% crecimiento por demografía</a:t>
          </a:r>
        </a:p>
      </dgm:t>
    </dgm:pt>
    <dgm:pt modelId="{7DBABB58-7591-42C8-91C4-230C8C20D113}" type="parTrans" cxnId="{E4B227A6-B074-4781-B512-0676478B44D9}">
      <dgm:prSet/>
      <dgm:spPr/>
      <dgm:t>
        <a:bodyPr/>
        <a:lstStyle/>
        <a:p>
          <a:endParaRPr lang="es-ES" sz="1000"/>
        </a:p>
      </dgm:t>
    </dgm:pt>
    <dgm:pt modelId="{C4E28B56-57F9-4A89-948E-6BBD16595541}" type="sibTrans" cxnId="{E4B227A6-B074-4781-B512-0676478B44D9}">
      <dgm:prSet custT="1"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7CEC61A3-8936-409B-BF9F-9D4F6F6CD3F6}">
      <dgm:prSet phldrT="[Texto]" custT="1"/>
      <dgm:spPr>
        <a:solidFill>
          <a:schemeClr val="accent1"/>
        </a:solidFill>
      </dgm:spPr>
      <dgm:t>
        <a:bodyPr/>
        <a:lstStyle/>
        <a:p>
          <a:r>
            <a:rPr lang="es-ES" sz="1000" dirty="0"/>
            <a:t>% crecimiento otros factores</a:t>
          </a:r>
        </a:p>
      </dgm:t>
    </dgm:pt>
    <dgm:pt modelId="{EA7379C7-A071-4668-827B-5195B6668971}" type="parTrans" cxnId="{2F4B81AE-C33B-4827-BCFE-63FEAA0BBDD3}">
      <dgm:prSet/>
      <dgm:spPr/>
      <dgm:t>
        <a:bodyPr/>
        <a:lstStyle/>
        <a:p>
          <a:endParaRPr lang="es-ES" sz="1000"/>
        </a:p>
      </dgm:t>
    </dgm:pt>
    <dgm:pt modelId="{F86CADE9-99BA-4064-BE2A-0E65AAC6D71A}" type="sibTrans" cxnId="{2F4B81AE-C33B-4827-BCFE-63FEAA0BBDD3}">
      <dgm:prSet/>
      <dgm:spPr>
        <a:solidFill>
          <a:schemeClr val="accent1"/>
        </a:solidFill>
      </dgm:spPr>
      <dgm:t>
        <a:bodyPr/>
        <a:lstStyle/>
        <a:p>
          <a:endParaRPr lang="es-ES" sz="1000"/>
        </a:p>
      </dgm:t>
    </dgm:pt>
    <dgm:pt modelId="{6F904763-05D1-4596-A757-2A7C679D50B2}" type="pres">
      <dgm:prSet presAssocID="{C4D5322E-0683-4106-9407-1451849267BD}" presName="linearFlow" presStyleCnt="0">
        <dgm:presLayoutVars>
          <dgm:dir/>
          <dgm:resizeHandles val="exact"/>
        </dgm:presLayoutVars>
      </dgm:prSet>
      <dgm:spPr/>
    </dgm:pt>
    <dgm:pt modelId="{06766BE5-9B5F-4160-8BFD-82F83C5CB243}" type="pres">
      <dgm:prSet presAssocID="{8BD6E8ED-8BAD-421A-9301-F8F146EF2291}" presName="node" presStyleLbl="node1" presStyleIdx="0" presStyleCnt="3">
        <dgm:presLayoutVars>
          <dgm:bulletEnabled val="1"/>
        </dgm:presLayoutVars>
      </dgm:prSet>
      <dgm:spPr>
        <a:prstGeom prst="rect">
          <a:avLst/>
        </a:prstGeom>
      </dgm:spPr>
    </dgm:pt>
    <dgm:pt modelId="{3DB0E890-A514-45BF-A18A-482A76DA2E52}" type="pres">
      <dgm:prSet presAssocID="{4C773C50-345A-47A7-8B48-C48790951C03}" presName="spacerL" presStyleCnt="0"/>
      <dgm:spPr/>
    </dgm:pt>
    <dgm:pt modelId="{801AC8D9-06CA-4E77-9542-E5874C07F284}" type="pres">
      <dgm:prSet presAssocID="{4C773C50-345A-47A7-8B48-C48790951C03}" presName="sibTrans" presStyleLbl="sibTrans2D1" presStyleIdx="0" presStyleCnt="2" custAng="0" custScaleX="95563" custLinFactNeighborX="-22740" custLinFactNeighborY="-6993"/>
      <dgm:spPr>
        <a:prstGeom prst="mathEqual">
          <a:avLst/>
        </a:prstGeom>
      </dgm:spPr>
    </dgm:pt>
    <dgm:pt modelId="{3C18AA90-AC9E-4985-BD18-4FF4E05662BD}" type="pres">
      <dgm:prSet presAssocID="{4C773C50-345A-47A7-8B48-C48790951C03}" presName="spacerR" presStyleCnt="0"/>
      <dgm:spPr/>
    </dgm:pt>
    <dgm:pt modelId="{FB013E86-5D65-45BB-920F-C24E05320EBE}" type="pres">
      <dgm:prSet presAssocID="{232CEDB1-3C4B-4D83-999E-F73AA1EE985E}" presName="node" presStyleLbl="node1" presStyleIdx="1" presStyleCnt="3">
        <dgm:presLayoutVars>
          <dgm:bulletEnabled val="1"/>
        </dgm:presLayoutVars>
      </dgm:prSet>
      <dgm:spPr>
        <a:prstGeom prst="rect">
          <a:avLst/>
        </a:prstGeom>
      </dgm:spPr>
    </dgm:pt>
    <dgm:pt modelId="{0C066ABC-2EB0-4009-8184-5D9E87248C14}" type="pres">
      <dgm:prSet presAssocID="{C4E28B56-57F9-4A89-948E-6BBD16595541}" presName="spacerL" presStyleCnt="0"/>
      <dgm:spPr/>
    </dgm:pt>
    <dgm:pt modelId="{06A1E549-9F86-4203-A732-10481A23CEAD}" type="pres">
      <dgm:prSet presAssocID="{C4E28B56-57F9-4A89-948E-6BBD16595541}" presName="sibTrans" presStyleLbl="sibTrans2D1" presStyleIdx="1" presStyleCnt="2" custAng="18894035"/>
      <dgm:spPr>
        <a:prstGeom prst="mathMultiply">
          <a:avLst/>
        </a:prstGeom>
      </dgm:spPr>
    </dgm:pt>
    <dgm:pt modelId="{BC4D224A-3439-47B1-AFAF-8D2651A8DA35}" type="pres">
      <dgm:prSet presAssocID="{C4E28B56-57F9-4A89-948E-6BBD16595541}" presName="spacerR" presStyleCnt="0"/>
      <dgm:spPr/>
    </dgm:pt>
    <dgm:pt modelId="{6CECEABE-B23D-4A93-B30A-D7F8A438E3B9}" type="pres">
      <dgm:prSet presAssocID="{7CEC61A3-8936-409B-BF9F-9D4F6F6CD3F6}" presName="node" presStyleLbl="node1" presStyleIdx="2" presStyleCnt="3">
        <dgm:presLayoutVars>
          <dgm:bulletEnabled val="1"/>
        </dgm:presLayoutVars>
      </dgm:prSet>
      <dgm:spPr>
        <a:prstGeom prst="rect">
          <a:avLst/>
        </a:prstGeom>
      </dgm:spPr>
    </dgm:pt>
  </dgm:ptLst>
  <dgm:cxnLst>
    <dgm:cxn modelId="{89451A3E-0837-4959-A8DB-C9797D1A21A6}" type="presOf" srcId="{8BD6E8ED-8BAD-421A-9301-F8F146EF2291}" destId="{06766BE5-9B5F-4160-8BFD-82F83C5CB243}" srcOrd="0" destOrd="0" presId="urn:microsoft.com/office/officeart/2005/8/layout/equation1"/>
    <dgm:cxn modelId="{52041549-406A-4646-81C2-BACBCB72F3A7}" type="presOf" srcId="{4C773C50-345A-47A7-8B48-C48790951C03}" destId="{801AC8D9-06CA-4E77-9542-E5874C07F284}" srcOrd="0" destOrd="0" presId="urn:microsoft.com/office/officeart/2005/8/layout/equation1"/>
    <dgm:cxn modelId="{08C83771-10B6-46D7-8949-1250AB7DD7C2}" type="presOf" srcId="{C4D5322E-0683-4106-9407-1451849267BD}" destId="{6F904763-05D1-4596-A757-2A7C679D50B2}" srcOrd="0" destOrd="0" presId="urn:microsoft.com/office/officeart/2005/8/layout/equation1"/>
    <dgm:cxn modelId="{DADA9E51-6345-4284-AFF5-48C6F9C2739C}" type="presOf" srcId="{232CEDB1-3C4B-4D83-999E-F73AA1EE985E}" destId="{FB013E86-5D65-45BB-920F-C24E05320EBE}" srcOrd="0" destOrd="0" presId="urn:microsoft.com/office/officeart/2005/8/layout/equation1"/>
    <dgm:cxn modelId="{552BF386-A530-43ED-B6F2-012D96073B08}" srcId="{C4D5322E-0683-4106-9407-1451849267BD}" destId="{8BD6E8ED-8BAD-421A-9301-F8F146EF2291}" srcOrd="0" destOrd="0" parTransId="{843A3079-8903-43E0-8B19-7EE51BA44DB1}" sibTransId="{4C773C50-345A-47A7-8B48-C48790951C03}"/>
    <dgm:cxn modelId="{E4B227A6-B074-4781-B512-0676478B44D9}" srcId="{C4D5322E-0683-4106-9407-1451849267BD}" destId="{232CEDB1-3C4B-4D83-999E-F73AA1EE985E}" srcOrd="1" destOrd="0" parTransId="{7DBABB58-7591-42C8-91C4-230C8C20D113}" sibTransId="{C4E28B56-57F9-4A89-948E-6BBD16595541}"/>
    <dgm:cxn modelId="{2F4B81AE-C33B-4827-BCFE-63FEAA0BBDD3}" srcId="{C4D5322E-0683-4106-9407-1451849267BD}" destId="{7CEC61A3-8936-409B-BF9F-9D4F6F6CD3F6}" srcOrd="2" destOrd="0" parTransId="{EA7379C7-A071-4668-827B-5195B6668971}" sibTransId="{F86CADE9-99BA-4064-BE2A-0E65AAC6D71A}"/>
    <dgm:cxn modelId="{66D7D0D8-FB5B-4B79-8668-66D2150213E5}" type="presOf" srcId="{C4E28B56-57F9-4A89-948E-6BBD16595541}" destId="{06A1E549-9F86-4203-A732-10481A23CEAD}" srcOrd="0" destOrd="0" presId="urn:microsoft.com/office/officeart/2005/8/layout/equation1"/>
    <dgm:cxn modelId="{882EF2D9-738C-4B4B-B2B6-AACC1526A70C}" type="presOf" srcId="{7CEC61A3-8936-409B-BF9F-9D4F6F6CD3F6}" destId="{6CECEABE-B23D-4A93-B30A-D7F8A438E3B9}" srcOrd="0" destOrd="0" presId="urn:microsoft.com/office/officeart/2005/8/layout/equation1"/>
    <dgm:cxn modelId="{513FC5FA-87E6-4B99-B69B-BE34B97C9EC1}" type="presParOf" srcId="{6F904763-05D1-4596-A757-2A7C679D50B2}" destId="{06766BE5-9B5F-4160-8BFD-82F83C5CB243}" srcOrd="0" destOrd="0" presId="urn:microsoft.com/office/officeart/2005/8/layout/equation1"/>
    <dgm:cxn modelId="{BDF335AE-820D-4DA8-B742-EBF302269745}" type="presParOf" srcId="{6F904763-05D1-4596-A757-2A7C679D50B2}" destId="{3DB0E890-A514-45BF-A18A-482A76DA2E52}" srcOrd="1" destOrd="0" presId="urn:microsoft.com/office/officeart/2005/8/layout/equation1"/>
    <dgm:cxn modelId="{A4E21D62-8FF3-4C44-B4C5-DBA622F174B6}" type="presParOf" srcId="{6F904763-05D1-4596-A757-2A7C679D50B2}" destId="{801AC8D9-06CA-4E77-9542-E5874C07F284}" srcOrd="2" destOrd="0" presId="urn:microsoft.com/office/officeart/2005/8/layout/equation1"/>
    <dgm:cxn modelId="{4F715C17-735E-4B82-9D45-146D470BF7CB}" type="presParOf" srcId="{6F904763-05D1-4596-A757-2A7C679D50B2}" destId="{3C18AA90-AC9E-4985-BD18-4FF4E05662BD}" srcOrd="3" destOrd="0" presId="urn:microsoft.com/office/officeart/2005/8/layout/equation1"/>
    <dgm:cxn modelId="{853DA286-2FFD-45E5-8A6E-879C08E43A06}" type="presParOf" srcId="{6F904763-05D1-4596-A757-2A7C679D50B2}" destId="{FB013E86-5D65-45BB-920F-C24E05320EBE}" srcOrd="4" destOrd="0" presId="urn:microsoft.com/office/officeart/2005/8/layout/equation1"/>
    <dgm:cxn modelId="{010A7548-4F4B-487B-9427-1F8B751C0EFF}" type="presParOf" srcId="{6F904763-05D1-4596-A757-2A7C679D50B2}" destId="{0C066ABC-2EB0-4009-8184-5D9E87248C14}" srcOrd="5" destOrd="0" presId="urn:microsoft.com/office/officeart/2005/8/layout/equation1"/>
    <dgm:cxn modelId="{52A2316E-02CD-4A8F-A1BE-757E4F476079}" type="presParOf" srcId="{6F904763-05D1-4596-A757-2A7C679D50B2}" destId="{06A1E549-9F86-4203-A732-10481A23CEAD}" srcOrd="6" destOrd="0" presId="urn:microsoft.com/office/officeart/2005/8/layout/equation1"/>
    <dgm:cxn modelId="{DCC2AE17-536D-4F65-9D5E-650817D592A3}" type="presParOf" srcId="{6F904763-05D1-4596-A757-2A7C679D50B2}" destId="{BC4D224A-3439-47B1-AFAF-8D2651A8DA35}" srcOrd="7" destOrd="0" presId="urn:microsoft.com/office/officeart/2005/8/layout/equation1"/>
    <dgm:cxn modelId="{3A60E5AD-C66B-4494-B7C9-F8C55E8DB612}" type="presParOf" srcId="{6F904763-05D1-4596-A757-2A7C679D50B2}" destId="{6CECEABE-B23D-4A93-B30A-D7F8A438E3B9}" srcOrd="8" destOrd="0" presId="urn:microsoft.com/office/officeart/2005/8/layout/equation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C4D5322E-0683-4106-9407-1451849267BD}" type="doc">
      <dgm:prSet loTypeId="urn:microsoft.com/office/officeart/2005/8/layout/equation1" loCatId="process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s-ES"/>
        </a:p>
      </dgm:t>
    </dgm:pt>
    <dgm:pt modelId="{8BD6E8ED-8BAD-421A-9301-F8F146EF2291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Proyecciones de población</a:t>
          </a:r>
        </a:p>
      </dgm:t>
    </dgm:pt>
    <dgm:pt modelId="{843A3079-8903-43E0-8B19-7EE51BA44DB1}" type="parTrans" cxnId="{552BF386-A530-43ED-B6F2-012D96073B08}">
      <dgm:prSet/>
      <dgm:spPr/>
      <dgm:t>
        <a:bodyPr/>
        <a:lstStyle/>
        <a:p>
          <a:endParaRPr lang="es-ES"/>
        </a:p>
      </dgm:t>
    </dgm:pt>
    <dgm:pt modelId="{4C773C50-345A-47A7-8B48-C48790951C03}" type="sibTrans" cxnId="{552BF386-A530-43ED-B6F2-012D96073B08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232CEDB1-3C4B-4D83-999E-F73AA1EE985E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Gasto por alumno por ciclo formativo</a:t>
          </a:r>
        </a:p>
      </dgm:t>
    </dgm:pt>
    <dgm:pt modelId="{7DBABB58-7591-42C8-91C4-230C8C20D113}" type="parTrans" cxnId="{E4B227A6-B074-4781-B512-0676478B44D9}">
      <dgm:prSet/>
      <dgm:spPr/>
      <dgm:t>
        <a:bodyPr/>
        <a:lstStyle/>
        <a:p>
          <a:endParaRPr lang="es-ES"/>
        </a:p>
      </dgm:t>
    </dgm:pt>
    <dgm:pt modelId="{C4E28B56-57F9-4A89-948E-6BBD16595541}" type="sibTrans" cxnId="{E4B227A6-B074-4781-B512-0676478B44D9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ADFD91AE-1CE7-4A5B-AA0D-B04FAFD6A830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Gasto total en educación</a:t>
          </a:r>
        </a:p>
      </dgm:t>
    </dgm:pt>
    <dgm:pt modelId="{C89C775E-2860-4837-BF36-829B55E8613C}" type="parTrans" cxnId="{9C840896-4AD0-4FBB-9EE3-7CA424CE7CA6}">
      <dgm:prSet/>
      <dgm:spPr/>
      <dgm:t>
        <a:bodyPr/>
        <a:lstStyle/>
        <a:p>
          <a:endParaRPr lang="es-ES"/>
        </a:p>
      </dgm:t>
    </dgm:pt>
    <dgm:pt modelId="{4F303EB9-3FC7-4510-8CF4-29AEBDEB24F8}" type="sibTrans" cxnId="{9C840896-4AD0-4FBB-9EE3-7CA424CE7CA6}">
      <dgm:prSet/>
      <dgm:spPr/>
      <dgm:t>
        <a:bodyPr/>
        <a:lstStyle/>
        <a:p>
          <a:endParaRPr lang="es-ES"/>
        </a:p>
      </dgm:t>
    </dgm:pt>
    <dgm:pt modelId="{7CEC61A3-8936-409B-BF9F-9D4F6F6CD3F6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Tasas netas de escolaridad</a:t>
          </a:r>
        </a:p>
      </dgm:t>
    </dgm:pt>
    <dgm:pt modelId="{EA7379C7-A071-4668-827B-5195B6668971}" type="parTrans" cxnId="{2F4B81AE-C33B-4827-BCFE-63FEAA0BBDD3}">
      <dgm:prSet/>
      <dgm:spPr/>
      <dgm:t>
        <a:bodyPr/>
        <a:lstStyle/>
        <a:p>
          <a:endParaRPr lang="es-ES"/>
        </a:p>
      </dgm:t>
    </dgm:pt>
    <dgm:pt modelId="{F86CADE9-99BA-4064-BE2A-0E65AAC6D71A}" type="sibTrans" cxnId="{2F4B81AE-C33B-4827-BCFE-63FEAA0BBDD3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661D0300-4AA4-4618-8455-D3ABF70D1227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Evolución del coste unitario (PIB per cápita nominal)</a:t>
          </a:r>
        </a:p>
      </dgm:t>
    </dgm:pt>
    <dgm:pt modelId="{FD6F2335-CB52-41E7-A5A1-F1614576341A}" type="parTrans" cxnId="{A646B7B4-CEDA-45B1-8426-06924412BCEB}">
      <dgm:prSet/>
      <dgm:spPr/>
      <dgm:t>
        <a:bodyPr/>
        <a:lstStyle/>
        <a:p>
          <a:endParaRPr lang="es-ES"/>
        </a:p>
      </dgm:t>
    </dgm:pt>
    <dgm:pt modelId="{4F77AFB8-1900-45E7-A157-E88DB3DB5DDF}" type="sibTrans" cxnId="{A646B7B4-CEDA-45B1-8426-06924412BCEB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6F904763-05D1-4596-A757-2A7C679D50B2}" type="pres">
      <dgm:prSet presAssocID="{C4D5322E-0683-4106-9407-1451849267BD}" presName="linearFlow" presStyleCnt="0">
        <dgm:presLayoutVars>
          <dgm:dir/>
          <dgm:resizeHandles val="exact"/>
        </dgm:presLayoutVars>
      </dgm:prSet>
      <dgm:spPr/>
    </dgm:pt>
    <dgm:pt modelId="{06766BE5-9B5F-4160-8BFD-82F83C5CB243}" type="pres">
      <dgm:prSet presAssocID="{8BD6E8ED-8BAD-421A-9301-F8F146EF2291}" presName="node" presStyleLbl="node1" presStyleIdx="0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3DB0E890-A514-45BF-A18A-482A76DA2E52}" type="pres">
      <dgm:prSet presAssocID="{4C773C50-345A-47A7-8B48-C48790951C03}" presName="spacerL" presStyleCnt="0"/>
      <dgm:spPr/>
    </dgm:pt>
    <dgm:pt modelId="{801AC8D9-06CA-4E77-9542-E5874C07F284}" type="pres">
      <dgm:prSet presAssocID="{4C773C50-345A-47A7-8B48-C48790951C03}" presName="sibTrans" presStyleLbl="sibTrans2D1" presStyleIdx="0" presStyleCnt="4"/>
      <dgm:spPr>
        <a:prstGeom prst="mathMultiply">
          <a:avLst/>
        </a:prstGeom>
      </dgm:spPr>
    </dgm:pt>
    <dgm:pt modelId="{3C18AA90-AC9E-4985-BD18-4FF4E05662BD}" type="pres">
      <dgm:prSet presAssocID="{4C773C50-345A-47A7-8B48-C48790951C03}" presName="spacerR" presStyleCnt="0"/>
      <dgm:spPr/>
    </dgm:pt>
    <dgm:pt modelId="{FB013E86-5D65-45BB-920F-C24E05320EBE}" type="pres">
      <dgm:prSet presAssocID="{232CEDB1-3C4B-4D83-999E-F73AA1EE985E}" presName="node" presStyleLbl="node1" presStyleIdx="1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0C066ABC-2EB0-4009-8184-5D9E87248C14}" type="pres">
      <dgm:prSet presAssocID="{C4E28B56-57F9-4A89-948E-6BBD16595541}" presName="spacerL" presStyleCnt="0"/>
      <dgm:spPr/>
    </dgm:pt>
    <dgm:pt modelId="{06A1E549-9F86-4203-A732-10481A23CEAD}" type="pres">
      <dgm:prSet presAssocID="{C4E28B56-57F9-4A89-948E-6BBD16595541}" presName="sibTrans" presStyleLbl="sibTrans2D1" presStyleIdx="1" presStyleCnt="4"/>
      <dgm:spPr>
        <a:prstGeom prst="mathMultiply">
          <a:avLst/>
        </a:prstGeom>
      </dgm:spPr>
    </dgm:pt>
    <dgm:pt modelId="{BC4D224A-3439-47B1-AFAF-8D2651A8DA35}" type="pres">
      <dgm:prSet presAssocID="{C4E28B56-57F9-4A89-948E-6BBD16595541}" presName="spacerR" presStyleCnt="0"/>
      <dgm:spPr/>
    </dgm:pt>
    <dgm:pt modelId="{6CECEABE-B23D-4A93-B30A-D7F8A438E3B9}" type="pres">
      <dgm:prSet presAssocID="{7CEC61A3-8936-409B-BF9F-9D4F6F6CD3F6}" presName="node" presStyleLbl="node1" presStyleIdx="2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8FD493B1-5043-4E0C-83AF-2C1555120F7C}" type="pres">
      <dgm:prSet presAssocID="{F86CADE9-99BA-4064-BE2A-0E65AAC6D71A}" presName="spacerL" presStyleCnt="0"/>
      <dgm:spPr/>
    </dgm:pt>
    <dgm:pt modelId="{59436EE3-6FFB-47F3-B4A3-291FC2DE63F4}" type="pres">
      <dgm:prSet presAssocID="{F86CADE9-99BA-4064-BE2A-0E65AAC6D71A}" presName="sibTrans" presStyleLbl="sibTrans2D1" presStyleIdx="2" presStyleCnt="4" custAng="2805415"/>
      <dgm:spPr/>
    </dgm:pt>
    <dgm:pt modelId="{0BC96220-C70E-41F2-A18A-B78D50C4A7CC}" type="pres">
      <dgm:prSet presAssocID="{F86CADE9-99BA-4064-BE2A-0E65AAC6D71A}" presName="spacerR" presStyleCnt="0"/>
      <dgm:spPr/>
    </dgm:pt>
    <dgm:pt modelId="{92B7CAD3-C1EA-4D0E-B464-4527915B19DF}" type="pres">
      <dgm:prSet presAssocID="{661D0300-4AA4-4618-8455-D3ABF70D1227}" presName="node" presStyleLbl="node1" presStyleIdx="3" presStyleCnt="5">
        <dgm:presLayoutVars>
          <dgm:bulletEnabled val="1"/>
        </dgm:presLayoutVars>
      </dgm:prSet>
      <dgm:spPr>
        <a:prstGeom prst="rect">
          <a:avLst/>
        </a:prstGeom>
      </dgm:spPr>
    </dgm:pt>
    <dgm:pt modelId="{664A70A4-764F-46D7-ACC2-B1A4040E20F7}" type="pres">
      <dgm:prSet presAssocID="{4F77AFB8-1900-45E7-A157-E88DB3DB5DDF}" presName="spacerL" presStyleCnt="0"/>
      <dgm:spPr/>
    </dgm:pt>
    <dgm:pt modelId="{934BC124-54E8-41FA-A6C9-5E1AA28E747C}" type="pres">
      <dgm:prSet presAssocID="{4F77AFB8-1900-45E7-A157-E88DB3DB5DDF}" presName="sibTrans" presStyleLbl="sibTrans2D1" presStyleIdx="3" presStyleCnt="4"/>
      <dgm:spPr/>
    </dgm:pt>
    <dgm:pt modelId="{0B67B887-5724-4777-B63F-1C7C039AC112}" type="pres">
      <dgm:prSet presAssocID="{4F77AFB8-1900-45E7-A157-E88DB3DB5DDF}" presName="spacerR" presStyleCnt="0"/>
      <dgm:spPr/>
    </dgm:pt>
    <dgm:pt modelId="{D5E8E0AE-23F6-4E76-8328-51470CC4E219}" type="pres">
      <dgm:prSet presAssocID="{ADFD91AE-1CE7-4A5B-AA0D-B04FAFD6A830}" presName="node" presStyleLbl="node1" presStyleIdx="4" presStyleCnt="5">
        <dgm:presLayoutVars>
          <dgm:bulletEnabled val="1"/>
        </dgm:presLayoutVars>
      </dgm:prSet>
      <dgm:spPr>
        <a:prstGeom prst="rect">
          <a:avLst/>
        </a:prstGeom>
      </dgm:spPr>
    </dgm:pt>
  </dgm:ptLst>
  <dgm:cxnLst>
    <dgm:cxn modelId="{89451A3E-0837-4959-A8DB-C9797D1A21A6}" type="presOf" srcId="{8BD6E8ED-8BAD-421A-9301-F8F146EF2291}" destId="{06766BE5-9B5F-4160-8BFD-82F83C5CB243}" srcOrd="0" destOrd="0" presId="urn:microsoft.com/office/officeart/2005/8/layout/equation1"/>
    <dgm:cxn modelId="{52041549-406A-4646-81C2-BACBCB72F3A7}" type="presOf" srcId="{4C773C50-345A-47A7-8B48-C48790951C03}" destId="{801AC8D9-06CA-4E77-9542-E5874C07F284}" srcOrd="0" destOrd="0" presId="urn:microsoft.com/office/officeart/2005/8/layout/equation1"/>
    <dgm:cxn modelId="{08C83771-10B6-46D7-8949-1250AB7DD7C2}" type="presOf" srcId="{C4D5322E-0683-4106-9407-1451849267BD}" destId="{6F904763-05D1-4596-A757-2A7C679D50B2}" srcOrd="0" destOrd="0" presId="urn:microsoft.com/office/officeart/2005/8/layout/equation1"/>
    <dgm:cxn modelId="{DADA9E51-6345-4284-AFF5-48C6F9C2739C}" type="presOf" srcId="{232CEDB1-3C4B-4D83-999E-F73AA1EE985E}" destId="{FB013E86-5D65-45BB-920F-C24E05320EBE}" srcOrd="0" destOrd="0" presId="urn:microsoft.com/office/officeart/2005/8/layout/equation1"/>
    <dgm:cxn modelId="{552BF386-A530-43ED-B6F2-012D96073B08}" srcId="{C4D5322E-0683-4106-9407-1451849267BD}" destId="{8BD6E8ED-8BAD-421A-9301-F8F146EF2291}" srcOrd="0" destOrd="0" parTransId="{843A3079-8903-43E0-8B19-7EE51BA44DB1}" sibTransId="{4C773C50-345A-47A7-8B48-C48790951C03}"/>
    <dgm:cxn modelId="{4C595E88-E9E7-40C2-86C4-796DCF9EFED7}" type="presOf" srcId="{F86CADE9-99BA-4064-BE2A-0E65AAC6D71A}" destId="{59436EE3-6FFB-47F3-B4A3-291FC2DE63F4}" srcOrd="0" destOrd="0" presId="urn:microsoft.com/office/officeart/2005/8/layout/equation1"/>
    <dgm:cxn modelId="{9C840896-4AD0-4FBB-9EE3-7CA424CE7CA6}" srcId="{C4D5322E-0683-4106-9407-1451849267BD}" destId="{ADFD91AE-1CE7-4A5B-AA0D-B04FAFD6A830}" srcOrd="4" destOrd="0" parTransId="{C89C775E-2860-4837-BF36-829B55E8613C}" sibTransId="{4F303EB9-3FC7-4510-8CF4-29AEBDEB24F8}"/>
    <dgm:cxn modelId="{23DC149C-8F52-482F-AEDF-63D74AB133BC}" type="presOf" srcId="{661D0300-4AA4-4618-8455-D3ABF70D1227}" destId="{92B7CAD3-C1EA-4D0E-B464-4527915B19DF}" srcOrd="0" destOrd="0" presId="urn:microsoft.com/office/officeart/2005/8/layout/equation1"/>
    <dgm:cxn modelId="{E4B227A6-B074-4781-B512-0676478B44D9}" srcId="{C4D5322E-0683-4106-9407-1451849267BD}" destId="{232CEDB1-3C4B-4D83-999E-F73AA1EE985E}" srcOrd="1" destOrd="0" parTransId="{7DBABB58-7591-42C8-91C4-230C8C20D113}" sibTransId="{C4E28B56-57F9-4A89-948E-6BBD16595541}"/>
    <dgm:cxn modelId="{2F4B81AE-C33B-4827-BCFE-63FEAA0BBDD3}" srcId="{C4D5322E-0683-4106-9407-1451849267BD}" destId="{7CEC61A3-8936-409B-BF9F-9D4F6F6CD3F6}" srcOrd="2" destOrd="0" parTransId="{EA7379C7-A071-4668-827B-5195B6668971}" sibTransId="{F86CADE9-99BA-4064-BE2A-0E65AAC6D71A}"/>
    <dgm:cxn modelId="{A646B7B4-CEDA-45B1-8426-06924412BCEB}" srcId="{C4D5322E-0683-4106-9407-1451849267BD}" destId="{661D0300-4AA4-4618-8455-D3ABF70D1227}" srcOrd="3" destOrd="0" parTransId="{FD6F2335-CB52-41E7-A5A1-F1614576341A}" sibTransId="{4F77AFB8-1900-45E7-A157-E88DB3DB5DDF}"/>
    <dgm:cxn modelId="{C65397C6-1E49-44AE-9649-D8D18F597F00}" type="presOf" srcId="{4F77AFB8-1900-45E7-A157-E88DB3DB5DDF}" destId="{934BC124-54E8-41FA-A6C9-5E1AA28E747C}" srcOrd="0" destOrd="0" presId="urn:microsoft.com/office/officeart/2005/8/layout/equation1"/>
    <dgm:cxn modelId="{66D7D0D8-FB5B-4B79-8668-66D2150213E5}" type="presOf" srcId="{C4E28B56-57F9-4A89-948E-6BBD16595541}" destId="{06A1E549-9F86-4203-A732-10481A23CEAD}" srcOrd="0" destOrd="0" presId="urn:microsoft.com/office/officeart/2005/8/layout/equation1"/>
    <dgm:cxn modelId="{882EF2D9-738C-4B4B-B2B6-AACC1526A70C}" type="presOf" srcId="{7CEC61A3-8936-409B-BF9F-9D4F6F6CD3F6}" destId="{6CECEABE-B23D-4A93-B30A-D7F8A438E3B9}" srcOrd="0" destOrd="0" presId="urn:microsoft.com/office/officeart/2005/8/layout/equation1"/>
    <dgm:cxn modelId="{D9B98FE8-D721-498C-BC3A-543C43B68011}" type="presOf" srcId="{ADFD91AE-1CE7-4A5B-AA0D-B04FAFD6A830}" destId="{D5E8E0AE-23F6-4E76-8328-51470CC4E219}" srcOrd="0" destOrd="0" presId="urn:microsoft.com/office/officeart/2005/8/layout/equation1"/>
    <dgm:cxn modelId="{513FC5FA-87E6-4B99-B69B-BE34B97C9EC1}" type="presParOf" srcId="{6F904763-05D1-4596-A757-2A7C679D50B2}" destId="{06766BE5-9B5F-4160-8BFD-82F83C5CB243}" srcOrd="0" destOrd="0" presId="urn:microsoft.com/office/officeart/2005/8/layout/equation1"/>
    <dgm:cxn modelId="{BDF335AE-820D-4DA8-B742-EBF302269745}" type="presParOf" srcId="{6F904763-05D1-4596-A757-2A7C679D50B2}" destId="{3DB0E890-A514-45BF-A18A-482A76DA2E52}" srcOrd="1" destOrd="0" presId="urn:microsoft.com/office/officeart/2005/8/layout/equation1"/>
    <dgm:cxn modelId="{A4E21D62-8FF3-4C44-B4C5-DBA622F174B6}" type="presParOf" srcId="{6F904763-05D1-4596-A757-2A7C679D50B2}" destId="{801AC8D9-06CA-4E77-9542-E5874C07F284}" srcOrd="2" destOrd="0" presId="urn:microsoft.com/office/officeart/2005/8/layout/equation1"/>
    <dgm:cxn modelId="{4F715C17-735E-4B82-9D45-146D470BF7CB}" type="presParOf" srcId="{6F904763-05D1-4596-A757-2A7C679D50B2}" destId="{3C18AA90-AC9E-4985-BD18-4FF4E05662BD}" srcOrd="3" destOrd="0" presId="urn:microsoft.com/office/officeart/2005/8/layout/equation1"/>
    <dgm:cxn modelId="{853DA286-2FFD-45E5-8A6E-879C08E43A06}" type="presParOf" srcId="{6F904763-05D1-4596-A757-2A7C679D50B2}" destId="{FB013E86-5D65-45BB-920F-C24E05320EBE}" srcOrd="4" destOrd="0" presId="urn:microsoft.com/office/officeart/2005/8/layout/equation1"/>
    <dgm:cxn modelId="{010A7548-4F4B-487B-9427-1F8B751C0EFF}" type="presParOf" srcId="{6F904763-05D1-4596-A757-2A7C679D50B2}" destId="{0C066ABC-2EB0-4009-8184-5D9E87248C14}" srcOrd="5" destOrd="0" presId="urn:microsoft.com/office/officeart/2005/8/layout/equation1"/>
    <dgm:cxn modelId="{52A2316E-02CD-4A8F-A1BE-757E4F476079}" type="presParOf" srcId="{6F904763-05D1-4596-A757-2A7C679D50B2}" destId="{06A1E549-9F86-4203-A732-10481A23CEAD}" srcOrd="6" destOrd="0" presId="urn:microsoft.com/office/officeart/2005/8/layout/equation1"/>
    <dgm:cxn modelId="{DCC2AE17-536D-4F65-9D5E-650817D592A3}" type="presParOf" srcId="{6F904763-05D1-4596-A757-2A7C679D50B2}" destId="{BC4D224A-3439-47B1-AFAF-8D2651A8DA35}" srcOrd="7" destOrd="0" presId="urn:microsoft.com/office/officeart/2005/8/layout/equation1"/>
    <dgm:cxn modelId="{3A60E5AD-C66B-4494-B7C9-F8C55E8DB612}" type="presParOf" srcId="{6F904763-05D1-4596-A757-2A7C679D50B2}" destId="{6CECEABE-B23D-4A93-B30A-D7F8A438E3B9}" srcOrd="8" destOrd="0" presId="urn:microsoft.com/office/officeart/2005/8/layout/equation1"/>
    <dgm:cxn modelId="{B41F2967-A008-495F-8435-CAE569E60022}" type="presParOf" srcId="{6F904763-05D1-4596-A757-2A7C679D50B2}" destId="{8FD493B1-5043-4E0C-83AF-2C1555120F7C}" srcOrd="9" destOrd="0" presId="urn:microsoft.com/office/officeart/2005/8/layout/equation1"/>
    <dgm:cxn modelId="{BCAE8517-C46E-4D4F-B261-D49ACA260E22}" type="presParOf" srcId="{6F904763-05D1-4596-A757-2A7C679D50B2}" destId="{59436EE3-6FFB-47F3-B4A3-291FC2DE63F4}" srcOrd="10" destOrd="0" presId="urn:microsoft.com/office/officeart/2005/8/layout/equation1"/>
    <dgm:cxn modelId="{D64C540F-6CCF-455A-A60F-46C31C6EB015}" type="presParOf" srcId="{6F904763-05D1-4596-A757-2A7C679D50B2}" destId="{0BC96220-C70E-41F2-A18A-B78D50C4A7CC}" srcOrd="11" destOrd="0" presId="urn:microsoft.com/office/officeart/2005/8/layout/equation1"/>
    <dgm:cxn modelId="{619A8BA0-2B20-4212-8FB0-8320A4612D86}" type="presParOf" srcId="{6F904763-05D1-4596-A757-2A7C679D50B2}" destId="{92B7CAD3-C1EA-4D0E-B464-4527915B19DF}" srcOrd="12" destOrd="0" presId="urn:microsoft.com/office/officeart/2005/8/layout/equation1"/>
    <dgm:cxn modelId="{516E0576-F34E-4C74-8BFA-26746E825A93}" type="presParOf" srcId="{6F904763-05D1-4596-A757-2A7C679D50B2}" destId="{664A70A4-764F-46D7-ACC2-B1A4040E20F7}" srcOrd="13" destOrd="0" presId="urn:microsoft.com/office/officeart/2005/8/layout/equation1"/>
    <dgm:cxn modelId="{6429E552-3A21-4978-9AD1-6FBDA62D2AA5}" type="presParOf" srcId="{6F904763-05D1-4596-A757-2A7C679D50B2}" destId="{934BC124-54E8-41FA-A6C9-5E1AA28E747C}" srcOrd="14" destOrd="0" presId="urn:microsoft.com/office/officeart/2005/8/layout/equation1"/>
    <dgm:cxn modelId="{4A85663C-AAA7-4659-8D88-57313BED585D}" type="presParOf" srcId="{6F904763-05D1-4596-A757-2A7C679D50B2}" destId="{0B67B887-5724-4777-B63F-1C7C039AC112}" srcOrd="15" destOrd="0" presId="urn:microsoft.com/office/officeart/2005/8/layout/equation1"/>
    <dgm:cxn modelId="{E67EC31A-09C1-4F25-B77D-909094BB390D}" type="presParOf" srcId="{6F904763-05D1-4596-A757-2A7C679D50B2}" destId="{D5E8E0AE-23F6-4E76-8328-51470CC4E219}" srcOrd="16" destOrd="0" presId="urn:microsoft.com/office/officeart/2005/8/layout/equation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C4D5322E-0683-4106-9407-1451849267BD}" type="doc">
      <dgm:prSet loTypeId="urn:microsoft.com/office/officeart/2005/8/layout/equation1" loCatId="process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s-ES"/>
        </a:p>
      </dgm:t>
    </dgm:pt>
    <dgm:pt modelId="{8BD6E8ED-8BAD-421A-9301-F8F146EF2291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% crecimiento gasto educación</a:t>
          </a:r>
        </a:p>
      </dgm:t>
    </dgm:pt>
    <dgm:pt modelId="{843A3079-8903-43E0-8B19-7EE51BA44DB1}" type="parTrans" cxnId="{552BF386-A530-43ED-B6F2-012D96073B08}">
      <dgm:prSet/>
      <dgm:spPr/>
      <dgm:t>
        <a:bodyPr/>
        <a:lstStyle/>
        <a:p>
          <a:endParaRPr lang="es-ES"/>
        </a:p>
      </dgm:t>
    </dgm:pt>
    <dgm:pt modelId="{4C773C50-345A-47A7-8B48-C48790951C03}" type="sibTrans" cxnId="{552BF386-A530-43ED-B6F2-012D96073B08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232CEDB1-3C4B-4D83-999E-F73AA1EE985E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% crecimiento por demografía</a:t>
          </a:r>
        </a:p>
      </dgm:t>
    </dgm:pt>
    <dgm:pt modelId="{7DBABB58-7591-42C8-91C4-230C8C20D113}" type="parTrans" cxnId="{E4B227A6-B074-4781-B512-0676478B44D9}">
      <dgm:prSet/>
      <dgm:spPr/>
      <dgm:t>
        <a:bodyPr/>
        <a:lstStyle/>
        <a:p>
          <a:endParaRPr lang="es-ES"/>
        </a:p>
      </dgm:t>
    </dgm:pt>
    <dgm:pt modelId="{C4E28B56-57F9-4A89-948E-6BBD16595541}" type="sibTrans" cxnId="{E4B227A6-B074-4781-B512-0676478B44D9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7CEC61A3-8936-409B-BF9F-9D4F6F6CD3F6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% crecimiento por otros factores</a:t>
          </a:r>
        </a:p>
      </dgm:t>
    </dgm:pt>
    <dgm:pt modelId="{EA7379C7-A071-4668-827B-5195B6668971}" type="parTrans" cxnId="{2F4B81AE-C33B-4827-BCFE-63FEAA0BBDD3}">
      <dgm:prSet/>
      <dgm:spPr/>
      <dgm:t>
        <a:bodyPr/>
        <a:lstStyle/>
        <a:p>
          <a:endParaRPr lang="es-ES"/>
        </a:p>
      </dgm:t>
    </dgm:pt>
    <dgm:pt modelId="{F86CADE9-99BA-4064-BE2A-0E65AAC6D71A}" type="sibTrans" cxnId="{2F4B81AE-C33B-4827-BCFE-63FEAA0BBDD3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6F904763-05D1-4596-A757-2A7C679D50B2}" type="pres">
      <dgm:prSet presAssocID="{C4D5322E-0683-4106-9407-1451849267BD}" presName="linearFlow" presStyleCnt="0">
        <dgm:presLayoutVars>
          <dgm:dir/>
          <dgm:resizeHandles val="exact"/>
        </dgm:presLayoutVars>
      </dgm:prSet>
      <dgm:spPr/>
    </dgm:pt>
    <dgm:pt modelId="{06766BE5-9B5F-4160-8BFD-82F83C5CB243}" type="pres">
      <dgm:prSet presAssocID="{8BD6E8ED-8BAD-421A-9301-F8F146EF2291}" presName="node" presStyleLbl="node1" presStyleIdx="0" presStyleCnt="3">
        <dgm:presLayoutVars>
          <dgm:bulletEnabled val="1"/>
        </dgm:presLayoutVars>
      </dgm:prSet>
      <dgm:spPr>
        <a:prstGeom prst="rect">
          <a:avLst/>
        </a:prstGeom>
      </dgm:spPr>
    </dgm:pt>
    <dgm:pt modelId="{3DB0E890-A514-45BF-A18A-482A76DA2E52}" type="pres">
      <dgm:prSet presAssocID="{4C773C50-345A-47A7-8B48-C48790951C03}" presName="spacerL" presStyleCnt="0"/>
      <dgm:spPr/>
    </dgm:pt>
    <dgm:pt modelId="{801AC8D9-06CA-4E77-9542-E5874C07F284}" type="pres">
      <dgm:prSet presAssocID="{4C773C50-345A-47A7-8B48-C48790951C03}" presName="sibTrans" presStyleLbl="sibTrans2D1" presStyleIdx="0" presStyleCnt="2"/>
      <dgm:spPr>
        <a:prstGeom prst="mathEqual">
          <a:avLst/>
        </a:prstGeom>
      </dgm:spPr>
    </dgm:pt>
    <dgm:pt modelId="{3C18AA90-AC9E-4985-BD18-4FF4E05662BD}" type="pres">
      <dgm:prSet presAssocID="{4C773C50-345A-47A7-8B48-C48790951C03}" presName="spacerR" presStyleCnt="0"/>
      <dgm:spPr/>
    </dgm:pt>
    <dgm:pt modelId="{FB013E86-5D65-45BB-920F-C24E05320EBE}" type="pres">
      <dgm:prSet presAssocID="{232CEDB1-3C4B-4D83-999E-F73AA1EE985E}" presName="node" presStyleLbl="node1" presStyleIdx="1" presStyleCnt="3">
        <dgm:presLayoutVars>
          <dgm:bulletEnabled val="1"/>
        </dgm:presLayoutVars>
      </dgm:prSet>
      <dgm:spPr>
        <a:prstGeom prst="rect">
          <a:avLst/>
        </a:prstGeom>
      </dgm:spPr>
    </dgm:pt>
    <dgm:pt modelId="{0C066ABC-2EB0-4009-8184-5D9E87248C14}" type="pres">
      <dgm:prSet presAssocID="{C4E28B56-57F9-4A89-948E-6BBD16595541}" presName="spacerL" presStyleCnt="0"/>
      <dgm:spPr/>
    </dgm:pt>
    <dgm:pt modelId="{06A1E549-9F86-4203-A732-10481A23CEAD}" type="pres">
      <dgm:prSet presAssocID="{C4E28B56-57F9-4A89-948E-6BBD16595541}" presName="sibTrans" presStyleLbl="sibTrans2D1" presStyleIdx="1" presStyleCnt="2"/>
      <dgm:spPr>
        <a:prstGeom prst="mathPlus">
          <a:avLst/>
        </a:prstGeom>
      </dgm:spPr>
    </dgm:pt>
    <dgm:pt modelId="{BC4D224A-3439-47B1-AFAF-8D2651A8DA35}" type="pres">
      <dgm:prSet presAssocID="{C4E28B56-57F9-4A89-948E-6BBD16595541}" presName="spacerR" presStyleCnt="0"/>
      <dgm:spPr/>
    </dgm:pt>
    <dgm:pt modelId="{6CECEABE-B23D-4A93-B30A-D7F8A438E3B9}" type="pres">
      <dgm:prSet presAssocID="{7CEC61A3-8936-409B-BF9F-9D4F6F6CD3F6}" presName="node" presStyleLbl="node1" presStyleIdx="2" presStyleCnt="3">
        <dgm:presLayoutVars>
          <dgm:bulletEnabled val="1"/>
        </dgm:presLayoutVars>
      </dgm:prSet>
      <dgm:spPr>
        <a:prstGeom prst="rect">
          <a:avLst/>
        </a:prstGeom>
      </dgm:spPr>
    </dgm:pt>
  </dgm:ptLst>
  <dgm:cxnLst>
    <dgm:cxn modelId="{89451A3E-0837-4959-A8DB-C9797D1A21A6}" type="presOf" srcId="{8BD6E8ED-8BAD-421A-9301-F8F146EF2291}" destId="{06766BE5-9B5F-4160-8BFD-82F83C5CB243}" srcOrd="0" destOrd="0" presId="urn:microsoft.com/office/officeart/2005/8/layout/equation1"/>
    <dgm:cxn modelId="{52041549-406A-4646-81C2-BACBCB72F3A7}" type="presOf" srcId="{4C773C50-345A-47A7-8B48-C48790951C03}" destId="{801AC8D9-06CA-4E77-9542-E5874C07F284}" srcOrd="0" destOrd="0" presId="urn:microsoft.com/office/officeart/2005/8/layout/equation1"/>
    <dgm:cxn modelId="{08C83771-10B6-46D7-8949-1250AB7DD7C2}" type="presOf" srcId="{C4D5322E-0683-4106-9407-1451849267BD}" destId="{6F904763-05D1-4596-A757-2A7C679D50B2}" srcOrd="0" destOrd="0" presId="urn:microsoft.com/office/officeart/2005/8/layout/equation1"/>
    <dgm:cxn modelId="{DADA9E51-6345-4284-AFF5-48C6F9C2739C}" type="presOf" srcId="{232CEDB1-3C4B-4D83-999E-F73AA1EE985E}" destId="{FB013E86-5D65-45BB-920F-C24E05320EBE}" srcOrd="0" destOrd="0" presId="urn:microsoft.com/office/officeart/2005/8/layout/equation1"/>
    <dgm:cxn modelId="{552BF386-A530-43ED-B6F2-012D96073B08}" srcId="{C4D5322E-0683-4106-9407-1451849267BD}" destId="{8BD6E8ED-8BAD-421A-9301-F8F146EF2291}" srcOrd="0" destOrd="0" parTransId="{843A3079-8903-43E0-8B19-7EE51BA44DB1}" sibTransId="{4C773C50-345A-47A7-8B48-C48790951C03}"/>
    <dgm:cxn modelId="{E4B227A6-B074-4781-B512-0676478B44D9}" srcId="{C4D5322E-0683-4106-9407-1451849267BD}" destId="{232CEDB1-3C4B-4D83-999E-F73AA1EE985E}" srcOrd="1" destOrd="0" parTransId="{7DBABB58-7591-42C8-91C4-230C8C20D113}" sibTransId="{C4E28B56-57F9-4A89-948E-6BBD16595541}"/>
    <dgm:cxn modelId="{2F4B81AE-C33B-4827-BCFE-63FEAA0BBDD3}" srcId="{C4D5322E-0683-4106-9407-1451849267BD}" destId="{7CEC61A3-8936-409B-BF9F-9D4F6F6CD3F6}" srcOrd="2" destOrd="0" parTransId="{EA7379C7-A071-4668-827B-5195B6668971}" sibTransId="{F86CADE9-99BA-4064-BE2A-0E65AAC6D71A}"/>
    <dgm:cxn modelId="{66D7D0D8-FB5B-4B79-8668-66D2150213E5}" type="presOf" srcId="{C4E28B56-57F9-4A89-948E-6BBD16595541}" destId="{06A1E549-9F86-4203-A732-10481A23CEAD}" srcOrd="0" destOrd="0" presId="urn:microsoft.com/office/officeart/2005/8/layout/equation1"/>
    <dgm:cxn modelId="{882EF2D9-738C-4B4B-B2B6-AACC1526A70C}" type="presOf" srcId="{7CEC61A3-8936-409B-BF9F-9D4F6F6CD3F6}" destId="{6CECEABE-B23D-4A93-B30A-D7F8A438E3B9}" srcOrd="0" destOrd="0" presId="urn:microsoft.com/office/officeart/2005/8/layout/equation1"/>
    <dgm:cxn modelId="{513FC5FA-87E6-4B99-B69B-BE34B97C9EC1}" type="presParOf" srcId="{6F904763-05D1-4596-A757-2A7C679D50B2}" destId="{06766BE5-9B5F-4160-8BFD-82F83C5CB243}" srcOrd="0" destOrd="0" presId="urn:microsoft.com/office/officeart/2005/8/layout/equation1"/>
    <dgm:cxn modelId="{BDF335AE-820D-4DA8-B742-EBF302269745}" type="presParOf" srcId="{6F904763-05D1-4596-A757-2A7C679D50B2}" destId="{3DB0E890-A514-45BF-A18A-482A76DA2E52}" srcOrd="1" destOrd="0" presId="urn:microsoft.com/office/officeart/2005/8/layout/equation1"/>
    <dgm:cxn modelId="{A4E21D62-8FF3-4C44-B4C5-DBA622F174B6}" type="presParOf" srcId="{6F904763-05D1-4596-A757-2A7C679D50B2}" destId="{801AC8D9-06CA-4E77-9542-E5874C07F284}" srcOrd="2" destOrd="0" presId="urn:microsoft.com/office/officeart/2005/8/layout/equation1"/>
    <dgm:cxn modelId="{4F715C17-735E-4B82-9D45-146D470BF7CB}" type="presParOf" srcId="{6F904763-05D1-4596-A757-2A7C679D50B2}" destId="{3C18AA90-AC9E-4985-BD18-4FF4E05662BD}" srcOrd="3" destOrd="0" presId="urn:microsoft.com/office/officeart/2005/8/layout/equation1"/>
    <dgm:cxn modelId="{853DA286-2FFD-45E5-8A6E-879C08E43A06}" type="presParOf" srcId="{6F904763-05D1-4596-A757-2A7C679D50B2}" destId="{FB013E86-5D65-45BB-920F-C24E05320EBE}" srcOrd="4" destOrd="0" presId="urn:microsoft.com/office/officeart/2005/8/layout/equation1"/>
    <dgm:cxn modelId="{010A7548-4F4B-487B-9427-1F8B751C0EFF}" type="presParOf" srcId="{6F904763-05D1-4596-A757-2A7C679D50B2}" destId="{0C066ABC-2EB0-4009-8184-5D9E87248C14}" srcOrd="5" destOrd="0" presId="urn:microsoft.com/office/officeart/2005/8/layout/equation1"/>
    <dgm:cxn modelId="{52A2316E-02CD-4A8F-A1BE-757E4F476079}" type="presParOf" srcId="{6F904763-05D1-4596-A757-2A7C679D50B2}" destId="{06A1E549-9F86-4203-A732-10481A23CEAD}" srcOrd="6" destOrd="0" presId="urn:microsoft.com/office/officeart/2005/8/layout/equation1"/>
    <dgm:cxn modelId="{DCC2AE17-536D-4F65-9D5E-650817D592A3}" type="presParOf" srcId="{6F904763-05D1-4596-A757-2A7C679D50B2}" destId="{BC4D224A-3439-47B1-AFAF-8D2651A8DA35}" srcOrd="7" destOrd="0" presId="urn:microsoft.com/office/officeart/2005/8/layout/equation1"/>
    <dgm:cxn modelId="{3A60E5AD-C66B-4494-B7C9-F8C55E8DB612}" type="presParOf" srcId="{6F904763-05D1-4596-A757-2A7C679D50B2}" destId="{6CECEABE-B23D-4A93-B30A-D7F8A438E3B9}" srcOrd="8" destOrd="0" presId="urn:microsoft.com/office/officeart/2005/8/layout/equation1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C4D5322E-0683-4106-9407-1451849267BD}" type="doc">
      <dgm:prSet loTypeId="urn:microsoft.com/office/officeart/2005/8/layout/equation1" loCatId="process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s-ES"/>
        </a:p>
      </dgm:t>
    </dgm:pt>
    <dgm:pt modelId="{8BD6E8ED-8BAD-421A-9301-F8F146EF2291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Proyecciones de población</a:t>
          </a:r>
        </a:p>
      </dgm:t>
    </dgm:pt>
    <dgm:pt modelId="{843A3079-8903-43E0-8B19-7EE51BA44DB1}" type="parTrans" cxnId="{552BF386-A530-43ED-B6F2-012D96073B08}">
      <dgm:prSet/>
      <dgm:spPr/>
      <dgm:t>
        <a:bodyPr/>
        <a:lstStyle/>
        <a:p>
          <a:endParaRPr lang="es-ES"/>
        </a:p>
      </dgm:t>
    </dgm:pt>
    <dgm:pt modelId="{4C773C50-345A-47A7-8B48-C48790951C03}" type="sibTrans" cxnId="{552BF386-A530-43ED-B6F2-012D96073B08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232CEDB1-3C4B-4D83-999E-F73AA1EE985E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Gasto por beneficiario por tipo de cuidado</a:t>
          </a:r>
        </a:p>
      </dgm:t>
    </dgm:pt>
    <dgm:pt modelId="{7DBABB58-7591-42C8-91C4-230C8C20D113}" type="parTrans" cxnId="{E4B227A6-B074-4781-B512-0676478B44D9}">
      <dgm:prSet/>
      <dgm:spPr/>
      <dgm:t>
        <a:bodyPr/>
        <a:lstStyle/>
        <a:p>
          <a:endParaRPr lang="es-ES"/>
        </a:p>
      </dgm:t>
    </dgm:pt>
    <dgm:pt modelId="{C4E28B56-57F9-4A89-948E-6BBD16595541}" type="sibTrans" cxnId="{E4B227A6-B074-4781-B512-0676478B44D9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ADFD91AE-1CE7-4A5B-AA0D-B04FAFD6A830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Gasto total en cuidados a larga duración</a:t>
          </a:r>
        </a:p>
      </dgm:t>
    </dgm:pt>
    <dgm:pt modelId="{C89C775E-2860-4837-BF36-829B55E8613C}" type="parTrans" cxnId="{9C840896-4AD0-4FBB-9EE3-7CA424CE7CA6}">
      <dgm:prSet/>
      <dgm:spPr/>
      <dgm:t>
        <a:bodyPr/>
        <a:lstStyle/>
        <a:p>
          <a:endParaRPr lang="es-ES"/>
        </a:p>
      </dgm:t>
    </dgm:pt>
    <dgm:pt modelId="{4F303EB9-3FC7-4510-8CF4-29AEBDEB24F8}" type="sibTrans" cxnId="{9C840896-4AD0-4FBB-9EE3-7CA424CE7CA6}">
      <dgm:prSet/>
      <dgm:spPr/>
      <dgm:t>
        <a:bodyPr/>
        <a:lstStyle/>
        <a:p>
          <a:endParaRPr lang="es-ES"/>
        </a:p>
      </dgm:t>
    </dgm:pt>
    <dgm:pt modelId="{0C27F5E3-41B9-4EFC-93B1-666E0AACA0F2}">
      <dgm:prSet/>
      <dgm:spPr>
        <a:solidFill>
          <a:schemeClr val="accent1"/>
        </a:solidFill>
      </dgm:spPr>
      <dgm:t>
        <a:bodyPr/>
        <a:lstStyle/>
        <a:p>
          <a:r>
            <a:rPr lang="es-ES" dirty="0"/>
            <a:t>Probabilidad de ser beneficiario por edad y sexo</a:t>
          </a:r>
        </a:p>
      </dgm:t>
    </dgm:pt>
    <dgm:pt modelId="{0E655FBB-CC4D-409C-9556-CF6BB8D4CD41}" type="parTrans" cxnId="{4AABBDEC-AD72-4AD6-9433-6F539A6A2469}">
      <dgm:prSet/>
      <dgm:spPr/>
      <dgm:t>
        <a:bodyPr/>
        <a:lstStyle/>
        <a:p>
          <a:endParaRPr lang="es-ES"/>
        </a:p>
      </dgm:t>
    </dgm:pt>
    <dgm:pt modelId="{EB4245C3-301F-454D-AC53-C71EDFB8DDCF}" type="sibTrans" cxnId="{4AABBDEC-AD72-4AD6-9433-6F539A6A2469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7CEC61A3-8936-409B-BF9F-9D4F6F6CD3F6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Evolución del coste unitario (PIB per cápita nominal)</a:t>
          </a:r>
        </a:p>
      </dgm:t>
    </dgm:pt>
    <dgm:pt modelId="{EA7379C7-A071-4668-827B-5195B6668971}" type="parTrans" cxnId="{2F4B81AE-C33B-4827-BCFE-63FEAA0BBDD3}">
      <dgm:prSet/>
      <dgm:spPr/>
      <dgm:t>
        <a:bodyPr/>
        <a:lstStyle/>
        <a:p>
          <a:endParaRPr lang="es-ES"/>
        </a:p>
      </dgm:t>
    </dgm:pt>
    <dgm:pt modelId="{F86CADE9-99BA-4064-BE2A-0E65AAC6D71A}" type="sibTrans" cxnId="{2F4B81AE-C33B-4827-BCFE-63FEAA0BBDD3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C4ABCDA1-7603-4FF7-8E70-51945AACF644}">
      <dgm:prSet/>
      <dgm:spPr>
        <a:solidFill>
          <a:schemeClr val="accent1"/>
        </a:solidFill>
      </dgm:spPr>
      <dgm:t>
        <a:bodyPr/>
        <a:lstStyle/>
        <a:p>
          <a:r>
            <a:rPr lang="es-ES" dirty="0"/>
            <a:t>Convergencia de la probabilidad de ser beneficiario</a:t>
          </a:r>
        </a:p>
      </dgm:t>
    </dgm:pt>
    <dgm:pt modelId="{793AD1FE-7CE5-48A4-9268-D64FF0148D9C}" type="parTrans" cxnId="{4AFA1B9A-195F-4955-94A9-2FCF1A92D48C}">
      <dgm:prSet/>
      <dgm:spPr/>
      <dgm:t>
        <a:bodyPr/>
        <a:lstStyle/>
        <a:p>
          <a:endParaRPr lang="es-ES"/>
        </a:p>
      </dgm:t>
    </dgm:pt>
    <dgm:pt modelId="{D138E5AF-CEA2-49E0-A499-1B53DD095650}" type="sibTrans" cxnId="{4AFA1B9A-195F-4955-94A9-2FCF1A92D48C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661D0300-4AA4-4618-8455-D3ABF70D1227}">
      <dgm:prSet phldrT="[Texto]"/>
      <dgm:spPr>
        <a:solidFill>
          <a:schemeClr val="accent1"/>
        </a:solidFill>
      </dgm:spPr>
      <dgm:t>
        <a:bodyPr/>
        <a:lstStyle/>
        <a:p>
          <a:r>
            <a:rPr lang="es-ES" dirty="0"/>
            <a:t>Elasticidad renta (1,1, convergencia a 1 en 2070)</a:t>
          </a:r>
        </a:p>
      </dgm:t>
    </dgm:pt>
    <dgm:pt modelId="{FD6F2335-CB52-41E7-A5A1-F1614576341A}" type="parTrans" cxnId="{A646B7B4-CEDA-45B1-8426-06924412BCEB}">
      <dgm:prSet/>
      <dgm:spPr/>
      <dgm:t>
        <a:bodyPr/>
        <a:lstStyle/>
        <a:p>
          <a:endParaRPr lang="es-ES"/>
        </a:p>
      </dgm:t>
    </dgm:pt>
    <dgm:pt modelId="{4F77AFB8-1900-45E7-A157-E88DB3DB5DDF}" type="sibTrans" cxnId="{A646B7B4-CEDA-45B1-8426-06924412BCEB}">
      <dgm:prSet/>
      <dgm:spPr>
        <a:solidFill>
          <a:schemeClr val="accent1"/>
        </a:solidFill>
      </dgm:spPr>
      <dgm:t>
        <a:bodyPr/>
        <a:lstStyle/>
        <a:p>
          <a:endParaRPr lang="es-ES"/>
        </a:p>
      </dgm:t>
    </dgm:pt>
    <dgm:pt modelId="{6F904763-05D1-4596-A757-2A7C679D50B2}" type="pres">
      <dgm:prSet presAssocID="{C4D5322E-0683-4106-9407-1451849267BD}" presName="linearFlow" presStyleCnt="0">
        <dgm:presLayoutVars>
          <dgm:dir/>
          <dgm:resizeHandles val="exact"/>
        </dgm:presLayoutVars>
      </dgm:prSet>
      <dgm:spPr/>
    </dgm:pt>
    <dgm:pt modelId="{06766BE5-9B5F-4160-8BFD-82F83C5CB243}" type="pres">
      <dgm:prSet presAssocID="{8BD6E8ED-8BAD-421A-9301-F8F146EF2291}" presName="node" presStyleLbl="node1" presStyleIdx="0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3DB0E890-A514-45BF-A18A-482A76DA2E52}" type="pres">
      <dgm:prSet presAssocID="{4C773C50-345A-47A7-8B48-C48790951C03}" presName="spacerL" presStyleCnt="0"/>
      <dgm:spPr/>
    </dgm:pt>
    <dgm:pt modelId="{801AC8D9-06CA-4E77-9542-E5874C07F284}" type="pres">
      <dgm:prSet presAssocID="{4C773C50-345A-47A7-8B48-C48790951C03}" presName="sibTrans" presStyleLbl="sibTrans2D1" presStyleIdx="0" presStyleCnt="6"/>
      <dgm:spPr>
        <a:prstGeom prst="mathMultiply">
          <a:avLst/>
        </a:prstGeom>
      </dgm:spPr>
    </dgm:pt>
    <dgm:pt modelId="{3C18AA90-AC9E-4985-BD18-4FF4E05662BD}" type="pres">
      <dgm:prSet presAssocID="{4C773C50-345A-47A7-8B48-C48790951C03}" presName="spacerR" presStyleCnt="0"/>
      <dgm:spPr/>
    </dgm:pt>
    <dgm:pt modelId="{FB013E86-5D65-45BB-920F-C24E05320EBE}" type="pres">
      <dgm:prSet presAssocID="{232CEDB1-3C4B-4D83-999E-F73AA1EE985E}" presName="node" presStyleLbl="node1" presStyleIdx="1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0C066ABC-2EB0-4009-8184-5D9E87248C14}" type="pres">
      <dgm:prSet presAssocID="{C4E28B56-57F9-4A89-948E-6BBD16595541}" presName="spacerL" presStyleCnt="0"/>
      <dgm:spPr/>
    </dgm:pt>
    <dgm:pt modelId="{06A1E549-9F86-4203-A732-10481A23CEAD}" type="pres">
      <dgm:prSet presAssocID="{C4E28B56-57F9-4A89-948E-6BBD16595541}" presName="sibTrans" presStyleLbl="sibTrans2D1" presStyleIdx="1" presStyleCnt="6"/>
      <dgm:spPr>
        <a:prstGeom prst="mathMultiply">
          <a:avLst/>
        </a:prstGeom>
      </dgm:spPr>
    </dgm:pt>
    <dgm:pt modelId="{BC4D224A-3439-47B1-AFAF-8D2651A8DA35}" type="pres">
      <dgm:prSet presAssocID="{C4E28B56-57F9-4A89-948E-6BBD16595541}" presName="spacerR" presStyleCnt="0"/>
      <dgm:spPr/>
    </dgm:pt>
    <dgm:pt modelId="{332BAD11-66E8-453F-8425-C9AA0F707AE9}" type="pres">
      <dgm:prSet presAssocID="{0C27F5E3-41B9-4EFC-93B1-666E0AACA0F2}" presName="node" presStyleLbl="node1" presStyleIdx="2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6EE9DEE4-BA3F-4A40-9F61-8E435CAD5B6E}" type="pres">
      <dgm:prSet presAssocID="{EB4245C3-301F-454D-AC53-C71EDFB8DDCF}" presName="spacerL" presStyleCnt="0"/>
      <dgm:spPr/>
    </dgm:pt>
    <dgm:pt modelId="{058019F0-BB66-47C5-BB2C-97C79A33B230}" type="pres">
      <dgm:prSet presAssocID="{EB4245C3-301F-454D-AC53-C71EDFB8DDCF}" presName="sibTrans" presStyleLbl="sibTrans2D1" presStyleIdx="2" presStyleCnt="6"/>
      <dgm:spPr>
        <a:prstGeom prst="mathMultiply">
          <a:avLst/>
        </a:prstGeom>
      </dgm:spPr>
    </dgm:pt>
    <dgm:pt modelId="{A61E0372-D6C0-4A57-A402-1413037A4FB5}" type="pres">
      <dgm:prSet presAssocID="{EB4245C3-301F-454D-AC53-C71EDFB8DDCF}" presName="spacerR" presStyleCnt="0"/>
      <dgm:spPr/>
    </dgm:pt>
    <dgm:pt modelId="{69FA5DDE-2FC2-49DD-A1F0-E6EE82343BC8}" type="pres">
      <dgm:prSet presAssocID="{C4ABCDA1-7603-4FF7-8E70-51945AACF644}" presName="node" presStyleLbl="node1" presStyleIdx="3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E03F8EFD-9F17-47E6-ADEB-E0BAE323EE3A}" type="pres">
      <dgm:prSet presAssocID="{D138E5AF-CEA2-49E0-A499-1B53DD095650}" presName="spacerL" presStyleCnt="0"/>
      <dgm:spPr/>
    </dgm:pt>
    <dgm:pt modelId="{B357C1E7-72C1-40D1-9414-114396448A4A}" type="pres">
      <dgm:prSet presAssocID="{D138E5AF-CEA2-49E0-A499-1B53DD095650}" presName="sibTrans" presStyleLbl="sibTrans2D1" presStyleIdx="3" presStyleCnt="6"/>
      <dgm:spPr>
        <a:prstGeom prst="mathMultiply">
          <a:avLst/>
        </a:prstGeom>
      </dgm:spPr>
    </dgm:pt>
    <dgm:pt modelId="{FD154DAF-474B-4CF9-B899-A487ED2E78E9}" type="pres">
      <dgm:prSet presAssocID="{D138E5AF-CEA2-49E0-A499-1B53DD095650}" presName="spacerR" presStyleCnt="0"/>
      <dgm:spPr/>
    </dgm:pt>
    <dgm:pt modelId="{6CECEABE-B23D-4A93-B30A-D7F8A438E3B9}" type="pres">
      <dgm:prSet presAssocID="{7CEC61A3-8936-409B-BF9F-9D4F6F6CD3F6}" presName="node" presStyleLbl="node1" presStyleIdx="4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8FD493B1-5043-4E0C-83AF-2C1555120F7C}" type="pres">
      <dgm:prSet presAssocID="{F86CADE9-99BA-4064-BE2A-0E65AAC6D71A}" presName="spacerL" presStyleCnt="0"/>
      <dgm:spPr/>
    </dgm:pt>
    <dgm:pt modelId="{59436EE3-6FFB-47F3-B4A3-291FC2DE63F4}" type="pres">
      <dgm:prSet presAssocID="{F86CADE9-99BA-4064-BE2A-0E65AAC6D71A}" presName="sibTrans" presStyleLbl="sibTrans2D1" presStyleIdx="4" presStyleCnt="6" custAng="2805415"/>
      <dgm:spPr/>
    </dgm:pt>
    <dgm:pt modelId="{0BC96220-C70E-41F2-A18A-B78D50C4A7CC}" type="pres">
      <dgm:prSet presAssocID="{F86CADE9-99BA-4064-BE2A-0E65AAC6D71A}" presName="spacerR" presStyleCnt="0"/>
      <dgm:spPr/>
    </dgm:pt>
    <dgm:pt modelId="{92B7CAD3-C1EA-4D0E-B464-4527915B19DF}" type="pres">
      <dgm:prSet presAssocID="{661D0300-4AA4-4618-8455-D3ABF70D1227}" presName="node" presStyleLbl="node1" presStyleIdx="5" presStyleCnt="7">
        <dgm:presLayoutVars>
          <dgm:bulletEnabled val="1"/>
        </dgm:presLayoutVars>
      </dgm:prSet>
      <dgm:spPr>
        <a:prstGeom prst="rect">
          <a:avLst/>
        </a:prstGeom>
      </dgm:spPr>
    </dgm:pt>
    <dgm:pt modelId="{664A70A4-764F-46D7-ACC2-B1A4040E20F7}" type="pres">
      <dgm:prSet presAssocID="{4F77AFB8-1900-45E7-A157-E88DB3DB5DDF}" presName="spacerL" presStyleCnt="0"/>
      <dgm:spPr/>
    </dgm:pt>
    <dgm:pt modelId="{934BC124-54E8-41FA-A6C9-5E1AA28E747C}" type="pres">
      <dgm:prSet presAssocID="{4F77AFB8-1900-45E7-A157-E88DB3DB5DDF}" presName="sibTrans" presStyleLbl="sibTrans2D1" presStyleIdx="5" presStyleCnt="6"/>
      <dgm:spPr/>
    </dgm:pt>
    <dgm:pt modelId="{0B67B887-5724-4777-B63F-1C7C039AC112}" type="pres">
      <dgm:prSet presAssocID="{4F77AFB8-1900-45E7-A157-E88DB3DB5DDF}" presName="spacerR" presStyleCnt="0"/>
      <dgm:spPr/>
    </dgm:pt>
    <dgm:pt modelId="{D5E8E0AE-23F6-4E76-8328-51470CC4E219}" type="pres">
      <dgm:prSet presAssocID="{ADFD91AE-1CE7-4A5B-AA0D-B04FAFD6A830}" presName="node" presStyleLbl="node1" presStyleIdx="6" presStyleCnt="7">
        <dgm:presLayoutVars>
          <dgm:bulletEnabled val="1"/>
        </dgm:presLayoutVars>
      </dgm:prSet>
      <dgm:spPr>
        <a:prstGeom prst="rect">
          <a:avLst/>
        </a:prstGeom>
      </dgm:spPr>
    </dgm:pt>
  </dgm:ptLst>
  <dgm:cxnLst>
    <dgm:cxn modelId="{C6BA4412-2C55-4699-B0B7-A585DF1BD622}" type="presOf" srcId="{EB4245C3-301F-454D-AC53-C71EDFB8DDCF}" destId="{058019F0-BB66-47C5-BB2C-97C79A33B230}" srcOrd="0" destOrd="0" presId="urn:microsoft.com/office/officeart/2005/8/layout/equation1"/>
    <dgm:cxn modelId="{2FF8671D-8C07-48A8-BBF6-608A44A96D80}" type="presOf" srcId="{D138E5AF-CEA2-49E0-A499-1B53DD095650}" destId="{B357C1E7-72C1-40D1-9414-114396448A4A}" srcOrd="0" destOrd="0" presId="urn:microsoft.com/office/officeart/2005/8/layout/equation1"/>
    <dgm:cxn modelId="{89451A3E-0837-4959-A8DB-C9797D1A21A6}" type="presOf" srcId="{8BD6E8ED-8BAD-421A-9301-F8F146EF2291}" destId="{06766BE5-9B5F-4160-8BFD-82F83C5CB243}" srcOrd="0" destOrd="0" presId="urn:microsoft.com/office/officeart/2005/8/layout/equation1"/>
    <dgm:cxn modelId="{52041549-406A-4646-81C2-BACBCB72F3A7}" type="presOf" srcId="{4C773C50-345A-47A7-8B48-C48790951C03}" destId="{801AC8D9-06CA-4E77-9542-E5874C07F284}" srcOrd="0" destOrd="0" presId="urn:microsoft.com/office/officeart/2005/8/layout/equation1"/>
    <dgm:cxn modelId="{61356B4A-0404-43FB-9E94-BCABF6BA8D63}" type="presOf" srcId="{0C27F5E3-41B9-4EFC-93B1-666E0AACA0F2}" destId="{332BAD11-66E8-453F-8425-C9AA0F707AE9}" srcOrd="0" destOrd="0" presId="urn:microsoft.com/office/officeart/2005/8/layout/equation1"/>
    <dgm:cxn modelId="{08C83771-10B6-46D7-8949-1250AB7DD7C2}" type="presOf" srcId="{C4D5322E-0683-4106-9407-1451849267BD}" destId="{6F904763-05D1-4596-A757-2A7C679D50B2}" srcOrd="0" destOrd="0" presId="urn:microsoft.com/office/officeart/2005/8/layout/equation1"/>
    <dgm:cxn modelId="{DADA9E51-6345-4284-AFF5-48C6F9C2739C}" type="presOf" srcId="{232CEDB1-3C4B-4D83-999E-F73AA1EE985E}" destId="{FB013E86-5D65-45BB-920F-C24E05320EBE}" srcOrd="0" destOrd="0" presId="urn:microsoft.com/office/officeart/2005/8/layout/equation1"/>
    <dgm:cxn modelId="{552BF386-A530-43ED-B6F2-012D96073B08}" srcId="{C4D5322E-0683-4106-9407-1451849267BD}" destId="{8BD6E8ED-8BAD-421A-9301-F8F146EF2291}" srcOrd="0" destOrd="0" parTransId="{843A3079-8903-43E0-8B19-7EE51BA44DB1}" sibTransId="{4C773C50-345A-47A7-8B48-C48790951C03}"/>
    <dgm:cxn modelId="{4C595E88-E9E7-40C2-86C4-796DCF9EFED7}" type="presOf" srcId="{F86CADE9-99BA-4064-BE2A-0E65AAC6D71A}" destId="{59436EE3-6FFB-47F3-B4A3-291FC2DE63F4}" srcOrd="0" destOrd="0" presId="urn:microsoft.com/office/officeart/2005/8/layout/equation1"/>
    <dgm:cxn modelId="{9C840896-4AD0-4FBB-9EE3-7CA424CE7CA6}" srcId="{C4D5322E-0683-4106-9407-1451849267BD}" destId="{ADFD91AE-1CE7-4A5B-AA0D-B04FAFD6A830}" srcOrd="6" destOrd="0" parTransId="{C89C775E-2860-4837-BF36-829B55E8613C}" sibTransId="{4F303EB9-3FC7-4510-8CF4-29AEBDEB24F8}"/>
    <dgm:cxn modelId="{4AFA1B9A-195F-4955-94A9-2FCF1A92D48C}" srcId="{C4D5322E-0683-4106-9407-1451849267BD}" destId="{C4ABCDA1-7603-4FF7-8E70-51945AACF644}" srcOrd="3" destOrd="0" parTransId="{793AD1FE-7CE5-48A4-9268-D64FF0148D9C}" sibTransId="{D138E5AF-CEA2-49E0-A499-1B53DD095650}"/>
    <dgm:cxn modelId="{23DC149C-8F52-482F-AEDF-63D74AB133BC}" type="presOf" srcId="{661D0300-4AA4-4618-8455-D3ABF70D1227}" destId="{92B7CAD3-C1EA-4D0E-B464-4527915B19DF}" srcOrd="0" destOrd="0" presId="urn:microsoft.com/office/officeart/2005/8/layout/equation1"/>
    <dgm:cxn modelId="{E4B227A6-B074-4781-B512-0676478B44D9}" srcId="{C4D5322E-0683-4106-9407-1451849267BD}" destId="{232CEDB1-3C4B-4D83-999E-F73AA1EE985E}" srcOrd="1" destOrd="0" parTransId="{7DBABB58-7591-42C8-91C4-230C8C20D113}" sibTransId="{C4E28B56-57F9-4A89-948E-6BBD16595541}"/>
    <dgm:cxn modelId="{2F4B81AE-C33B-4827-BCFE-63FEAA0BBDD3}" srcId="{C4D5322E-0683-4106-9407-1451849267BD}" destId="{7CEC61A3-8936-409B-BF9F-9D4F6F6CD3F6}" srcOrd="4" destOrd="0" parTransId="{EA7379C7-A071-4668-827B-5195B6668971}" sibTransId="{F86CADE9-99BA-4064-BE2A-0E65AAC6D71A}"/>
    <dgm:cxn modelId="{A646B7B4-CEDA-45B1-8426-06924412BCEB}" srcId="{C4D5322E-0683-4106-9407-1451849267BD}" destId="{661D0300-4AA4-4618-8455-D3ABF70D1227}" srcOrd="5" destOrd="0" parTransId="{FD6F2335-CB52-41E7-A5A1-F1614576341A}" sibTransId="{4F77AFB8-1900-45E7-A157-E88DB3DB5DDF}"/>
    <dgm:cxn modelId="{2996AAC3-3397-4B80-B78C-93F329B5F10E}" type="presOf" srcId="{C4ABCDA1-7603-4FF7-8E70-51945AACF644}" destId="{69FA5DDE-2FC2-49DD-A1F0-E6EE82343BC8}" srcOrd="0" destOrd="0" presId="urn:microsoft.com/office/officeart/2005/8/layout/equation1"/>
    <dgm:cxn modelId="{C65397C6-1E49-44AE-9649-D8D18F597F00}" type="presOf" srcId="{4F77AFB8-1900-45E7-A157-E88DB3DB5DDF}" destId="{934BC124-54E8-41FA-A6C9-5E1AA28E747C}" srcOrd="0" destOrd="0" presId="urn:microsoft.com/office/officeart/2005/8/layout/equation1"/>
    <dgm:cxn modelId="{66D7D0D8-FB5B-4B79-8668-66D2150213E5}" type="presOf" srcId="{C4E28B56-57F9-4A89-948E-6BBD16595541}" destId="{06A1E549-9F86-4203-A732-10481A23CEAD}" srcOrd="0" destOrd="0" presId="urn:microsoft.com/office/officeart/2005/8/layout/equation1"/>
    <dgm:cxn modelId="{882EF2D9-738C-4B4B-B2B6-AACC1526A70C}" type="presOf" srcId="{7CEC61A3-8936-409B-BF9F-9D4F6F6CD3F6}" destId="{6CECEABE-B23D-4A93-B30A-D7F8A438E3B9}" srcOrd="0" destOrd="0" presId="urn:microsoft.com/office/officeart/2005/8/layout/equation1"/>
    <dgm:cxn modelId="{D9B98FE8-D721-498C-BC3A-543C43B68011}" type="presOf" srcId="{ADFD91AE-1CE7-4A5B-AA0D-B04FAFD6A830}" destId="{D5E8E0AE-23F6-4E76-8328-51470CC4E219}" srcOrd="0" destOrd="0" presId="urn:microsoft.com/office/officeart/2005/8/layout/equation1"/>
    <dgm:cxn modelId="{4AABBDEC-AD72-4AD6-9433-6F539A6A2469}" srcId="{C4D5322E-0683-4106-9407-1451849267BD}" destId="{0C27F5E3-41B9-4EFC-93B1-666E0AACA0F2}" srcOrd="2" destOrd="0" parTransId="{0E655FBB-CC4D-409C-9556-CF6BB8D4CD41}" sibTransId="{EB4245C3-301F-454D-AC53-C71EDFB8DDCF}"/>
    <dgm:cxn modelId="{513FC5FA-87E6-4B99-B69B-BE34B97C9EC1}" type="presParOf" srcId="{6F904763-05D1-4596-A757-2A7C679D50B2}" destId="{06766BE5-9B5F-4160-8BFD-82F83C5CB243}" srcOrd="0" destOrd="0" presId="urn:microsoft.com/office/officeart/2005/8/layout/equation1"/>
    <dgm:cxn modelId="{BDF335AE-820D-4DA8-B742-EBF302269745}" type="presParOf" srcId="{6F904763-05D1-4596-A757-2A7C679D50B2}" destId="{3DB0E890-A514-45BF-A18A-482A76DA2E52}" srcOrd="1" destOrd="0" presId="urn:microsoft.com/office/officeart/2005/8/layout/equation1"/>
    <dgm:cxn modelId="{A4E21D62-8FF3-4C44-B4C5-DBA622F174B6}" type="presParOf" srcId="{6F904763-05D1-4596-A757-2A7C679D50B2}" destId="{801AC8D9-06CA-4E77-9542-E5874C07F284}" srcOrd="2" destOrd="0" presId="urn:microsoft.com/office/officeart/2005/8/layout/equation1"/>
    <dgm:cxn modelId="{4F715C17-735E-4B82-9D45-146D470BF7CB}" type="presParOf" srcId="{6F904763-05D1-4596-A757-2A7C679D50B2}" destId="{3C18AA90-AC9E-4985-BD18-4FF4E05662BD}" srcOrd="3" destOrd="0" presId="urn:microsoft.com/office/officeart/2005/8/layout/equation1"/>
    <dgm:cxn modelId="{853DA286-2FFD-45E5-8A6E-879C08E43A06}" type="presParOf" srcId="{6F904763-05D1-4596-A757-2A7C679D50B2}" destId="{FB013E86-5D65-45BB-920F-C24E05320EBE}" srcOrd="4" destOrd="0" presId="urn:microsoft.com/office/officeart/2005/8/layout/equation1"/>
    <dgm:cxn modelId="{010A7548-4F4B-487B-9427-1F8B751C0EFF}" type="presParOf" srcId="{6F904763-05D1-4596-A757-2A7C679D50B2}" destId="{0C066ABC-2EB0-4009-8184-5D9E87248C14}" srcOrd="5" destOrd="0" presId="urn:microsoft.com/office/officeart/2005/8/layout/equation1"/>
    <dgm:cxn modelId="{52A2316E-02CD-4A8F-A1BE-757E4F476079}" type="presParOf" srcId="{6F904763-05D1-4596-A757-2A7C679D50B2}" destId="{06A1E549-9F86-4203-A732-10481A23CEAD}" srcOrd="6" destOrd="0" presId="urn:microsoft.com/office/officeart/2005/8/layout/equation1"/>
    <dgm:cxn modelId="{DCC2AE17-536D-4F65-9D5E-650817D592A3}" type="presParOf" srcId="{6F904763-05D1-4596-A757-2A7C679D50B2}" destId="{BC4D224A-3439-47B1-AFAF-8D2651A8DA35}" srcOrd="7" destOrd="0" presId="urn:microsoft.com/office/officeart/2005/8/layout/equation1"/>
    <dgm:cxn modelId="{2AC455F3-2EBB-4FCE-B046-A991438AD590}" type="presParOf" srcId="{6F904763-05D1-4596-A757-2A7C679D50B2}" destId="{332BAD11-66E8-453F-8425-C9AA0F707AE9}" srcOrd="8" destOrd="0" presId="urn:microsoft.com/office/officeart/2005/8/layout/equation1"/>
    <dgm:cxn modelId="{0496D78C-46B2-453F-A77A-D38E78D79C81}" type="presParOf" srcId="{6F904763-05D1-4596-A757-2A7C679D50B2}" destId="{6EE9DEE4-BA3F-4A40-9F61-8E435CAD5B6E}" srcOrd="9" destOrd="0" presId="urn:microsoft.com/office/officeart/2005/8/layout/equation1"/>
    <dgm:cxn modelId="{A70F585B-E2B8-4E87-8387-0BF07F2C1091}" type="presParOf" srcId="{6F904763-05D1-4596-A757-2A7C679D50B2}" destId="{058019F0-BB66-47C5-BB2C-97C79A33B230}" srcOrd="10" destOrd="0" presId="urn:microsoft.com/office/officeart/2005/8/layout/equation1"/>
    <dgm:cxn modelId="{6567BC9C-E290-4141-BEE3-D7C30F20FA62}" type="presParOf" srcId="{6F904763-05D1-4596-A757-2A7C679D50B2}" destId="{A61E0372-D6C0-4A57-A402-1413037A4FB5}" srcOrd="11" destOrd="0" presId="urn:microsoft.com/office/officeart/2005/8/layout/equation1"/>
    <dgm:cxn modelId="{F5BD339A-956D-47C3-B948-F96F55EEC27D}" type="presParOf" srcId="{6F904763-05D1-4596-A757-2A7C679D50B2}" destId="{69FA5DDE-2FC2-49DD-A1F0-E6EE82343BC8}" srcOrd="12" destOrd="0" presId="urn:microsoft.com/office/officeart/2005/8/layout/equation1"/>
    <dgm:cxn modelId="{A91CFD00-D752-4EFF-8317-9C6FBD510263}" type="presParOf" srcId="{6F904763-05D1-4596-A757-2A7C679D50B2}" destId="{E03F8EFD-9F17-47E6-ADEB-E0BAE323EE3A}" srcOrd="13" destOrd="0" presId="urn:microsoft.com/office/officeart/2005/8/layout/equation1"/>
    <dgm:cxn modelId="{CCFD41A7-EA1D-45D0-96D5-F4646680661E}" type="presParOf" srcId="{6F904763-05D1-4596-A757-2A7C679D50B2}" destId="{B357C1E7-72C1-40D1-9414-114396448A4A}" srcOrd="14" destOrd="0" presId="urn:microsoft.com/office/officeart/2005/8/layout/equation1"/>
    <dgm:cxn modelId="{FB123D62-A621-463A-8F00-1522D0509390}" type="presParOf" srcId="{6F904763-05D1-4596-A757-2A7C679D50B2}" destId="{FD154DAF-474B-4CF9-B899-A487ED2E78E9}" srcOrd="15" destOrd="0" presId="urn:microsoft.com/office/officeart/2005/8/layout/equation1"/>
    <dgm:cxn modelId="{3A60E5AD-C66B-4494-B7C9-F8C55E8DB612}" type="presParOf" srcId="{6F904763-05D1-4596-A757-2A7C679D50B2}" destId="{6CECEABE-B23D-4A93-B30A-D7F8A438E3B9}" srcOrd="16" destOrd="0" presId="urn:microsoft.com/office/officeart/2005/8/layout/equation1"/>
    <dgm:cxn modelId="{B41F2967-A008-495F-8435-CAE569E60022}" type="presParOf" srcId="{6F904763-05D1-4596-A757-2A7C679D50B2}" destId="{8FD493B1-5043-4E0C-83AF-2C1555120F7C}" srcOrd="17" destOrd="0" presId="urn:microsoft.com/office/officeart/2005/8/layout/equation1"/>
    <dgm:cxn modelId="{BCAE8517-C46E-4D4F-B261-D49ACA260E22}" type="presParOf" srcId="{6F904763-05D1-4596-A757-2A7C679D50B2}" destId="{59436EE3-6FFB-47F3-B4A3-291FC2DE63F4}" srcOrd="18" destOrd="0" presId="urn:microsoft.com/office/officeart/2005/8/layout/equation1"/>
    <dgm:cxn modelId="{D64C540F-6CCF-455A-A60F-46C31C6EB015}" type="presParOf" srcId="{6F904763-05D1-4596-A757-2A7C679D50B2}" destId="{0BC96220-C70E-41F2-A18A-B78D50C4A7CC}" srcOrd="19" destOrd="0" presId="urn:microsoft.com/office/officeart/2005/8/layout/equation1"/>
    <dgm:cxn modelId="{619A8BA0-2B20-4212-8FB0-8320A4612D86}" type="presParOf" srcId="{6F904763-05D1-4596-A757-2A7C679D50B2}" destId="{92B7CAD3-C1EA-4D0E-B464-4527915B19DF}" srcOrd="20" destOrd="0" presId="urn:microsoft.com/office/officeart/2005/8/layout/equation1"/>
    <dgm:cxn modelId="{516E0576-F34E-4C74-8BFA-26746E825A93}" type="presParOf" srcId="{6F904763-05D1-4596-A757-2A7C679D50B2}" destId="{664A70A4-764F-46D7-ACC2-B1A4040E20F7}" srcOrd="21" destOrd="0" presId="urn:microsoft.com/office/officeart/2005/8/layout/equation1"/>
    <dgm:cxn modelId="{6429E552-3A21-4978-9AD1-6FBDA62D2AA5}" type="presParOf" srcId="{6F904763-05D1-4596-A757-2A7C679D50B2}" destId="{934BC124-54E8-41FA-A6C9-5E1AA28E747C}" srcOrd="22" destOrd="0" presId="urn:microsoft.com/office/officeart/2005/8/layout/equation1"/>
    <dgm:cxn modelId="{4A85663C-AAA7-4659-8D88-57313BED585D}" type="presParOf" srcId="{6F904763-05D1-4596-A757-2A7C679D50B2}" destId="{0B67B887-5724-4777-B63F-1C7C039AC112}" srcOrd="23" destOrd="0" presId="urn:microsoft.com/office/officeart/2005/8/layout/equation1"/>
    <dgm:cxn modelId="{E67EC31A-09C1-4F25-B77D-909094BB390D}" type="presParOf" srcId="{6F904763-05D1-4596-A757-2A7C679D50B2}" destId="{D5E8E0AE-23F6-4E76-8328-51470CC4E219}" srcOrd="24" destOrd="0" presId="urn:microsoft.com/office/officeart/2005/8/layout/equation1"/>
  </dgm:cxnLst>
  <dgm:bg/>
  <dgm:whole/>
  <dgm:extLst>
    <a:ext uri="http://schemas.microsoft.com/office/drawing/2008/diagram">
      <dsp:dataModelExt xmlns:dsp="http://schemas.microsoft.com/office/drawing/2008/diagram" relId="rId2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766BE5-9B5F-4160-8BFD-82F83C5CB243}">
      <dsp:nvSpPr>
        <dsp:cNvPr id="0" name=""/>
        <dsp:cNvSpPr/>
      </dsp:nvSpPr>
      <dsp:spPr>
        <a:xfrm>
          <a:off x="535" y="206169"/>
          <a:ext cx="708681" cy="708681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Proyecciones de población</a:t>
          </a:r>
        </a:p>
      </dsp:txBody>
      <dsp:txXfrm>
        <a:off x="535" y="206169"/>
        <a:ext cx="708681" cy="708681"/>
      </dsp:txXfrm>
    </dsp:sp>
    <dsp:sp modelId="{801AC8D9-06CA-4E77-9542-E5874C07F284}">
      <dsp:nvSpPr>
        <dsp:cNvPr id="0" name=""/>
        <dsp:cNvSpPr/>
      </dsp:nvSpPr>
      <dsp:spPr>
        <a:xfrm>
          <a:off x="766761" y="354992"/>
          <a:ext cx="411035" cy="411035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831301" y="419532"/>
        <a:ext cx="281955" cy="281955"/>
      </dsp:txXfrm>
    </dsp:sp>
    <dsp:sp modelId="{FB013E86-5D65-45BB-920F-C24E05320EBE}">
      <dsp:nvSpPr>
        <dsp:cNvPr id="0" name=""/>
        <dsp:cNvSpPr/>
      </dsp:nvSpPr>
      <dsp:spPr>
        <a:xfrm>
          <a:off x="1235341" y="206169"/>
          <a:ext cx="836860" cy="708681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Gasto per cápita por edad y sexo (coste unitario / perfil de gasto)</a:t>
          </a:r>
        </a:p>
      </dsp:txBody>
      <dsp:txXfrm>
        <a:off x="1235341" y="206169"/>
        <a:ext cx="836860" cy="708681"/>
      </dsp:txXfrm>
    </dsp:sp>
    <dsp:sp modelId="{06A1E549-9F86-4203-A732-10481A23CEAD}">
      <dsp:nvSpPr>
        <dsp:cNvPr id="0" name=""/>
        <dsp:cNvSpPr/>
      </dsp:nvSpPr>
      <dsp:spPr>
        <a:xfrm>
          <a:off x="2129747" y="354992"/>
          <a:ext cx="411035" cy="411035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2194287" y="419532"/>
        <a:ext cx="281955" cy="281955"/>
      </dsp:txXfrm>
    </dsp:sp>
    <dsp:sp modelId="{6CECEABE-B23D-4A93-B30A-D7F8A438E3B9}">
      <dsp:nvSpPr>
        <dsp:cNvPr id="0" name=""/>
        <dsp:cNvSpPr/>
      </dsp:nvSpPr>
      <dsp:spPr>
        <a:xfrm>
          <a:off x="2598328" y="206169"/>
          <a:ext cx="754512" cy="708681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Evolución del coste unitario (PIB per cápita nominal)</a:t>
          </a:r>
        </a:p>
      </dsp:txBody>
      <dsp:txXfrm>
        <a:off x="2598328" y="206169"/>
        <a:ext cx="754512" cy="708681"/>
      </dsp:txXfrm>
    </dsp:sp>
    <dsp:sp modelId="{59436EE3-6FFB-47F3-B4A3-291FC2DE63F4}">
      <dsp:nvSpPr>
        <dsp:cNvPr id="0" name=""/>
        <dsp:cNvSpPr/>
      </dsp:nvSpPr>
      <dsp:spPr>
        <a:xfrm rot="2805415">
          <a:off x="3410385" y="354992"/>
          <a:ext cx="411035" cy="411035"/>
        </a:xfrm>
        <a:prstGeom prst="mathPlus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3464868" y="512172"/>
        <a:ext cx="302069" cy="96675"/>
      </dsp:txXfrm>
    </dsp:sp>
    <dsp:sp modelId="{92B7CAD3-C1EA-4D0E-B464-4527915B19DF}">
      <dsp:nvSpPr>
        <dsp:cNvPr id="0" name=""/>
        <dsp:cNvSpPr/>
      </dsp:nvSpPr>
      <dsp:spPr>
        <a:xfrm>
          <a:off x="3878965" y="206169"/>
          <a:ext cx="708681" cy="708681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Elasticidad renta (1,2, convergencia a 1 en 2070)</a:t>
          </a:r>
        </a:p>
      </dsp:txBody>
      <dsp:txXfrm>
        <a:off x="3878965" y="206169"/>
        <a:ext cx="708681" cy="708681"/>
      </dsp:txXfrm>
    </dsp:sp>
    <dsp:sp modelId="{934BC124-54E8-41FA-A6C9-5E1AA28E747C}">
      <dsp:nvSpPr>
        <dsp:cNvPr id="0" name=""/>
        <dsp:cNvSpPr/>
      </dsp:nvSpPr>
      <dsp:spPr>
        <a:xfrm>
          <a:off x="4645192" y="354992"/>
          <a:ext cx="411035" cy="411035"/>
        </a:xfrm>
        <a:prstGeom prst="mathEqual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4699675" y="439665"/>
        <a:ext cx="302069" cy="241689"/>
      </dsp:txXfrm>
    </dsp:sp>
    <dsp:sp modelId="{D5E8E0AE-23F6-4E76-8328-51470CC4E219}">
      <dsp:nvSpPr>
        <dsp:cNvPr id="0" name=""/>
        <dsp:cNvSpPr/>
      </dsp:nvSpPr>
      <dsp:spPr>
        <a:xfrm>
          <a:off x="5113772" y="206169"/>
          <a:ext cx="708681" cy="708681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Gasto total en sanidad</a:t>
          </a:r>
        </a:p>
      </dsp:txBody>
      <dsp:txXfrm>
        <a:off x="5113772" y="206169"/>
        <a:ext cx="708681" cy="70868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766BE5-9B5F-4160-8BFD-82F83C5CB243}">
      <dsp:nvSpPr>
        <dsp:cNvPr id="0" name=""/>
        <dsp:cNvSpPr/>
      </dsp:nvSpPr>
      <dsp:spPr>
        <a:xfrm>
          <a:off x="1029572" y="63"/>
          <a:ext cx="798509" cy="7985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% crecimiento gasto sanidad</a:t>
          </a:r>
        </a:p>
      </dsp:txBody>
      <dsp:txXfrm>
        <a:off x="1029572" y="63"/>
        <a:ext cx="798509" cy="798509"/>
      </dsp:txXfrm>
    </dsp:sp>
    <dsp:sp modelId="{801AC8D9-06CA-4E77-9542-E5874C07F284}">
      <dsp:nvSpPr>
        <dsp:cNvPr id="0" name=""/>
        <dsp:cNvSpPr/>
      </dsp:nvSpPr>
      <dsp:spPr>
        <a:xfrm>
          <a:off x="1878176" y="135363"/>
          <a:ext cx="442586" cy="463135"/>
        </a:xfrm>
        <a:prstGeom prst="mathEqual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1936841" y="230769"/>
        <a:ext cx="325256" cy="272323"/>
      </dsp:txXfrm>
    </dsp:sp>
    <dsp:sp modelId="{FB013E86-5D65-45BB-920F-C24E05320EBE}">
      <dsp:nvSpPr>
        <dsp:cNvPr id="0" name=""/>
        <dsp:cNvSpPr/>
      </dsp:nvSpPr>
      <dsp:spPr>
        <a:xfrm>
          <a:off x="2400345" y="63"/>
          <a:ext cx="798509" cy="7985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% crecimiento por demografía</a:t>
          </a:r>
        </a:p>
      </dsp:txBody>
      <dsp:txXfrm>
        <a:off x="2400345" y="63"/>
        <a:ext cx="798509" cy="798509"/>
      </dsp:txXfrm>
    </dsp:sp>
    <dsp:sp modelId="{06A1E549-9F86-4203-A732-10481A23CEAD}">
      <dsp:nvSpPr>
        <dsp:cNvPr id="0" name=""/>
        <dsp:cNvSpPr/>
      </dsp:nvSpPr>
      <dsp:spPr>
        <a:xfrm rot="18894035">
          <a:off x="3263694" y="167750"/>
          <a:ext cx="463135" cy="463135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000" kern="1200"/>
        </a:p>
      </dsp:txBody>
      <dsp:txXfrm>
        <a:off x="3336415" y="240471"/>
        <a:ext cx="317693" cy="317693"/>
      </dsp:txXfrm>
    </dsp:sp>
    <dsp:sp modelId="{6CECEABE-B23D-4A93-B30A-D7F8A438E3B9}">
      <dsp:nvSpPr>
        <dsp:cNvPr id="0" name=""/>
        <dsp:cNvSpPr/>
      </dsp:nvSpPr>
      <dsp:spPr>
        <a:xfrm>
          <a:off x="3791668" y="63"/>
          <a:ext cx="798509" cy="7985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% crecimiento otros factores</a:t>
          </a:r>
        </a:p>
      </dsp:txBody>
      <dsp:txXfrm>
        <a:off x="3791668" y="63"/>
        <a:ext cx="798509" cy="798509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766BE5-9B5F-4160-8BFD-82F83C5CB243}">
      <dsp:nvSpPr>
        <dsp:cNvPr id="0" name=""/>
        <dsp:cNvSpPr/>
      </dsp:nvSpPr>
      <dsp:spPr>
        <a:xfrm>
          <a:off x="5872" y="268168"/>
          <a:ext cx="793312" cy="79331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Proyecciones de población</a:t>
          </a:r>
        </a:p>
      </dsp:txBody>
      <dsp:txXfrm>
        <a:off x="5872" y="268168"/>
        <a:ext cx="793312" cy="793312"/>
      </dsp:txXfrm>
    </dsp:sp>
    <dsp:sp modelId="{801AC8D9-06CA-4E77-9542-E5874C07F284}">
      <dsp:nvSpPr>
        <dsp:cNvPr id="0" name=""/>
        <dsp:cNvSpPr/>
      </dsp:nvSpPr>
      <dsp:spPr>
        <a:xfrm>
          <a:off x="863601" y="434764"/>
          <a:ext cx="460120" cy="460120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800" kern="1200"/>
        </a:p>
      </dsp:txBody>
      <dsp:txXfrm>
        <a:off x="935849" y="507012"/>
        <a:ext cx="315624" cy="315624"/>
      </dsp:txXfrm>
    </dsp:sp>
    <dsp:sp modelId="{FB013E86-5D65-45BB-920F-C24E05320EBE}">
      <dsp:nvSpPr>
        <dsp:cNvPr id="0" name=""/>
        <dsp:cNvSpPr/>
      </dsp:nvSpPr>
      <dsp:spPr>
        <a:xfrm>
          <a:off x="1388139" y="268168"/>
          <a:ext cx="793312" cy="79331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Gasto por alumno por ciclo formativo</a:t>
          </a:r>
        </a:p>
      </dsp:txBody>
      <dsp:txXfrm>
        <a:off x="1388139" y="268168"/>
        <a:ext cx="793312" cy="793312"/>
      </dsp:txXfrm>
    </dsp:sp>
    <dsp:sp modelId="{06A1E549-9F86-4203-A732-10481A23CEAD}">
      <dsp:nvSpPr>
        <dsp:cNvPr id="0" name=""/>
        <dsp:cNvSpPr/>
      </dsp:nvSpPr>
      <dsp:spPr>
        <a:xfrm>
          <a:off x="2245868" y="434764"/>
          <a:ext cx="460120" cy="460120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800" kern="1200"/>
        </a:p>
      </dsp:txBody>
      <dsp:txXfrm>
        <a:off x="2318116" y="507012"/>
        <a:ext cx="315624" cy="315624"/>
      </dsp:txXfrm>
    </dsp:sp>
    <dsp:sp modelId="{6CECEABE-B23D-4A93-B30A-D7F8A438E3B9}">
      <dsp:nvSpPr>
        <dsp:cNvPr id="0" name=""/>
        <dsp:cNvSpPr/>
      </dsp:nvSpPr>
      <dsp:spPr>
        <a:xfrm>
          <a:off x="2770406" y="268168"/>
          <a:ext cx="793312" cy="79331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Tasas netas de escolaridad</a:t>
          </a:r>
        </a:p>
      </dsp:txBody>
      <dsp:txXfrm>
        <a:off x="2770406" y="268168"/>
        <a:ext cx="793312" cy="793312"/>
      </dsp:txXfrm>
    </dsp:sp>
    <dsp:sp modelId="{59436EE3-6FFB-47F3-B4A3-291FC2DE63F4}">
      <dsp:nvSpPr>
        <dsp:cNvPr id="0" name=""/>
        <dsp:cNvSpPr/>
      </dsp:nvSpPr>
      <dsp:spPr>
        <a:xfrm rot="2805415">
          <a:off x="3628135" y="434764"/>
          <a:ext cx="460120" cy="460120"/>
        </a:xfrm>
        <a:prstGeom prst="mathPlus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700" kern="1200"/>
        </a:p>
      </dsp:txBody>
      <dsp:txXfrm>
        <a:off x="3689124" y="610714"/>
        <a:ext cx="338142" cy="108220"/>
      </dsp:txXfrm>
    </dsp:sp>
    <dsp:sp modelId="{92B7CAD3-C1EA-4D0E-B464-4527915B19DF}">
      <dsp:nvSpPr>
        <dsp:cNvPr id="0" name=""/>
        <dsp:cNvSpPr/>
      </dsp:nvSpPr>
      <dsp:spPr>
        <a:xfrm>
          <a:off x="4152673" y="268168"/>
          <a:ext cx="793312" cy="79331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Evolución del coste unitario (PIB per cápita nominal)</a:t>
          </a:r>
        </a:p>
      </dsp:txBody>
      <dsp:txXfrm>
        <a:off x="4152673" y="268168"/>
        <a:ext cx="793312" cy="793312"/>
      </dsp:txXfrm>
    </dsp:sp>
    <dsp:sp modelId="{934BC124-54E8-41FA-A6C9-5E1AA28E747C}">
      <dsp:nvSpPr>
        <dsp:cNvPr id="0" name=""/>
        <dsp:cNvSpPr/>
      </dsp:nvSpPr>
      <dsp:spPr>
        <a:xfrm>
          <a:off x="5010402" y="434764"/>
          <a:ext cx="460120" cy="460120"/>
        </a:xfrm>
        <a:prstGeom prst="mathEqual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800" kern="1200"/>
        </a:p>
      </dsp:txBody>
      <dsp:txXfrm>
        <a:off x="5071391" y="529549"/>
        <a:ext cx="338142" cy="270550"/>
      </dsp:txXfrm>
    </dsp:sp>
    <dsp:sp modelId="{D5E8E0AE-23F6-4E76-8328-51470CC4E219}">
      <dsp:nvSpPr>
        <dsp:cNvPr id="0" name=""/>
        <dsp:cNvSpPr/>
      </dsp:nvSpPr>
      <dsp:spPr>
        <a:xfrm>
          <a:off x="5534940" y="268168"/>
          <a:ext cx="793312" cy="79331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 dirty="0"/>
            <a:t>Gasto total en educación</a:t>
          </a:r>
        </a:p>
      </dsp:txBody>
      <dsp:txXfrm>
        <a:off x="5534940" y="268168"/>
        <a:ext cx="793312" cy="793312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766BE5-9B5F-4160-8BFD-82F83C5CB243}">
      <dsp:nvSpPr>
        <dsp:cNvPr id="0" name=""/>
        <dsp:cNvSpPr/>
      </dsp:nvSpPr>
      <dsp:spPr>
        <a:xfrm>
          <a:off x="840405" y="158"/>
          <a:ext cx="717722" cy="71772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100" kern="1200" dirty="0"/>
            <a:t>% crecimiento gasto educación</a:t>
          </a:r>
        </a:p>
      </dsp:txBody>
      <dsp:txXfrm>
        <a:off x="840405" y="158"/>
        <a:ext cx="717722" cy="717722"/>
      </dsp:txXfrm>
    </dsp:sp>
    <dsp:sp modelId="{801AC8D9-06CA-4E77-9542-E5874C07F284}">
      <dsp:nvSpPr>
        <dsp:cNvPr id="0" name=""/>
        <dsp:cNvSpPr/>
      </dsp:nvSpPr>
      <dsp:spPr>
        <a:xfrm>
          <a:off x="1616407" y="150879"/>
          <a:ext cx="416279" cy="416279"/>
        </a:xfrm>
        <a:prstGeom prst="mathEqual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900" kern="1200"/>
        </a:p>
      </dsp:txBody>
      <dsp:txXfrm>
        <a:off x="1671585" y="236632"/>
        <a:ext cx="305923" cy="244773"/>
      </dsp:txXfrm>
    </dsp:sp>
    <dsp:sp modelId="{FB013E86-5D65-45BB-920F-C24E05320EBE}">
      <dsp:nvSpPr>
        <dsp:cNvPr id="0" name=""/>
        <dsp:cNvSpPr/>
      </dsp:nvSpPr>
      <dsp:spPr>
        <a:xfrm>
          <a:off x="2090965" y="158"/>
          <a:ext cx="717722" cy="71772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100" kern="1200" dirty="0"/>
            <a:t>% crecimiento por demografía</a:t>
          </a:r>
        </a:p>
      </dsp:txBody>
      <dsp:txXfrm>
        <a:off x="2090965" y="158"/>
        <a:ext cx="717722" cy="717722"/>
      </dsp:txXfrm>
    </dsp:sp>
    <dsp:sp modelId="{06A1E549-9F86-4203-A732-10481A23CEAD}">
      <dsp:nvSpPr>
        <dsp:cNvPr id="0" name=""/>
        <dsp:cNvSpPr/>
      </dsp:nvSpPr>
      <dsp:spPr>
        <a:xfrm>
          <a:off x="2866967" y="150879"/>
          <a:ext cx="416279" cy="416279"/>
        </a:xfrm>
        <a:prstGeom prst="mathPlus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700" kern="1200"/>
        </a:p>
      </dsp:txBody>
      <dsp:txXfrm>
        <a:off x="2922145" y="310064"/>
        <a:ext cx="305923" cy="97909"/>
      </dsp:txXfrm>
    </dsp:sp>
    <dsp:sp modelId="{6CECEABE-B23D-4A93-B30A-D7F8A438E3B9}">
      <dsp:nvSpPr>
        <dsp:cNvPr id="0" name=""/>
        <dsp:cNvSpPr/>
      </dsp:nvSpPr>
      <dsp:spPr>
        <a:xfrm>
          <a:off x="3341525" y="158"/>
          <a:ext cx="717722" cy="717722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100" kern="1200" dirty="0"/>
            <a:t>% crecimiento por otros factores</a:t>
          </a:r>
        </a:p>
      </dsp:txBody>
      <dsp:txXfrm>
        <a:off x="3341525" y="158"/>
        <a:ext cx="717722" cy="717722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766BE5-9B5F-4160-8BFD-82F83C5CB243}">
      <dsp:nvSpPr>
        <dsp:cNvPr id="0" name=""/>
        <dsp:cNvSpPr/>
      </dsp:nvSpPr>
      <dsp:spPr>
        <a:xfrm>
          <a:off x="846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Proyecciones de población</a:t>
          </a:r>
        </a:p>
      </dsp:txBody>
      <dsp:txXfrm>
        <a:off x="846" y="614269"/>
        <a:ext cx="575609" cy="575609"/>
      </dsp:txXfrm>
    </dsp:sp>
    <dsp:sp modelId="{801AC8D9-06CA-4E77-9542-E5874C07F284}">
      <dsp:nvSpPr>
        <dsp:cNvPr id="0" name=""/>
        <dsp:cNvSpPr/>
      </dsp:nvSpPr>
      <dsp:spPr>
        <a:xfrm>
          <a:off x="623196" y="735147"/>
          <a:ext cx="333853" cy="333853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600" kern="1200"/>
        </a:p>
      </dsp:txBody>
      <dsp:txXfrm>
        <a:off x="675617" y="787568"/>
        <a:ext cx="229011" cy="229011"/>
      </dsp:txXfrm>
    </dsp:sp>
    <dsp:sp modelId="{FB013E86-5D65-45BB-920F-C24E05320EBE}">
      <dsp:nvSpPr>
        <dsp:cNvPr id="0" name=""/>
        <dsp:cNvSpPr/>
      </dsp:nvSpPr>
      <dsp:spPr>
        <a:xfrm>
          <a:off x="1003789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Gasto por beneficiario por tipo de cuidado</a:t>
          </a:r>
        </a:p>
      </dsp:txBody>
      <dsp:txXfrm>
        <a:off x="1003789" y="614269"/>
        <a:ext cx="575609" cy="575609"/>
      </dsp:txXfrm>
    </dsp:sp>
    <dsp:sp modelId="{06A1E549-9F86-4203-A732-10481A23CEAD}">
      <dsp:nvSpPr>
        <dsp:cNvPr id="0" name=""/>
        <dsp:cNvSpPr/>
      </dsp:nvSpPr>
      <dsp:spPr>
        <a:xfrm>
          <a:off x="1626138" y="735147"/>
          <a:ext cx="333853" cy="333853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600" kern="1200"/>
        </a:p>
      </dsp:txBody>
      <dsp:txXfrm>
        <a:off x="1678559" y="787568"/>
        <a:ext cx="229011" cy="229011"/>
      </dsp:txXfrm>
    </dsp:sp>
    <dsp:sp modelId="{332BAD11-66E8-453F-8425-C9AA0F707AE9}">
      <dsp:nvSpPr>
        <dsp:cNvPr id="0" name=""/>
        <dsp:cNvSpPr/>
      </dsp:nvSpPr>
      <dsp:spPr>
        <a:xfrm>
          <a:off x="2006731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Probabilidad de ser beneficiario por edad y sexo</a:t>
          </a:r>
        </a:p>
      </dsp:txBody>
      <dsp:txXfrm>
        <a:off x="2006731" y="614269"/>
        <a:ext cx="575609" cy="575609"/>
      </dsp:txXfrm>
    </dsp:sp>
    <dsp:sp modelId="{058019F0-BB66-47C5-BB2C-97C79A33B230}">
      <dsp:nvSpPr>
        <dsp:cNvPr id="0" name=""/>
        <dsp:cNvSpPr/>
      </dsp:nvSpPr>
      <dsp:spPr>
        <a:xfrm>
          <a:off x="2629080" y="735147"/>
          <a:ext cx="333853" cy="333853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600" kern="1200"/>
        </a:p>
      </dsp:txBody>
      <dsp:txXfrm>
        <a:off x="2681501" y="787568"/>
        <a:ext cx="229011" cy="229011"/>
      </dsp:txXfrm>
    </dsp:sp>
    <dsp:sp modelId="{69FA5DDE-2FC2-49DD-A1F0-E6EE82343BC8}">
      <dsp:nvSpPr>
        <dsp:cNvPr id="0" name=""/>
        <dsp:cNvSpPr/>
      </dsp:nvSpPr>
      <dsp:spPr>
        <a:xfrm>
          <a:off x="3009673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Convergencia de la probabilidad de ser beneficiario</a:t>
          </a:r>
        </a:p>
      </dsp:txBody>
      <dsp:txXfrm>
        <a:off x="3009673" y="614269"/>
        <a:ext cx="575609" cy="575609"/>
      </dsp:txXfrm>
    </dsp:sp>
    <dsp:sp modelId="{B357C1E7-72C1-40D1-9414-114396448A4A}">
      <dsp:nvSpPr>
        <dsp:cNvPr id="0" name=""/>
        <dsp:cNvSpPr/>
      </dsp:nvSpPr>
      <dsp:spPr>
        <a:xfrm>
          <a:off x="3632022" y="735147"/>
          <a:ext cx="333853" cy="333853"/>
        </a:xfrm>
        <a:prstGeom prst="mathMultiply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600" kern="1200"/>
        </a:p>
      </dsp:txBody>
      <dsp:txXfrm>
        <a:off x="3684443" y="787568"/>
        <a:ext cx="229011" cy="229011"/>
      </dsp:txXfrm>
    </dsp:sp>
    <dsp:sp modelId="{6CECEABE-B23D-4A93-B30A-D7F8A438E3B9}">
      <dsp:nvSpPr>
        <dsp:cNvPr id="0" name=""/>
        <dsp:cNvSpPr/>
      </dsp:nvSpPr>
      <dsp:spPr>
        <a:xfrm>
          <a:off x="4012615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Evolución del coste unitario (PIB per cápita nominal)</a:t>
          </a:r>
        </a:p>
      </dsp:txBody>
      <dsp:txXfrm>
        <a:off x="4012615" y="614269"/>
        <a:ext cx="575609" cy="575609"/>
      </dsp:txXfrm>
    </dsp:sp>
    <dsp:sp modelId="{59436EE3-6FFB-47F3-B4A3-291FC2DE63F4}">
      <dsp:nvSpPr>
        <dsp:cNvPr id="0" name=""/>
        <dsp:cNvSpPr/>
      </dsp:nvSpPr>
      <dsp:spPr>
        <a:xfrm rot="2805415">
          <a:off x="4634965" y="735147"/>
          <a:ext cx="333853" cy="333853"/>
        </a:xfrm>
        <a:prstGeom prst="mathPlus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500" kern="1200"/>
        </a:p>
      </dsp:txBody>
      <dsp:txXfrm>
        <a:off x="4679217" y="862812"/>
        <a:ext cx="245349" cy="78523"/>
      </dsp:txXfrm>
    </dsp:sp>
    <dsp:sp modelId="{92B7CAD3-C1EA-4D0E-B464-4527915B19DF}">
      <dsp:nvSpPr>
        <dsp:cNvPr id="0" name=""/>
        <dsp:cNvSpPr/>
      </dsp:nvSpPr>
      <dsp:spPr>
        <a:xfrm>
          <a:off x="5015558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Elasticidad renta (1,1, convergencia a 1 en 2070)</a:t>
          </a:r>
        </a:p>
      </dsp:txBody>
      <dsp:txXfrm>
        <a:off x="5015558" y="614269"/>
        <a:ext cx="575609" cy="575609"/>
      </dsp:txXfrm>
    </dsp:sp>
    <dsp:sp modelId="{934BC124-54E8-41FA-A6C9-5E1AA28E747C}">
      <dsp:nvSpPr>
        <dsp:cNvPr id="0" name=""/>
        <dsp:cNvSpPr/>
      </dsp:nvSpPr>
      <dsp:spPr>
        <a:xfrm>
          <a:off x="5637907" y="735147"/>
          <a:ext cx="333853" cy="333853"/>
        </a:xfrm>
        <a:prstGeom prst="mathEqual">
          <a:avLst/>
        </a:prstGeom>
        <a:solidFill>
          <a:schemeClr val="accent1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600" kern="1200"/>
        </a:p>
      </dsp:txBody>
      <dsp:txXfrm>
        <a:off x="5682159" y="803921"/>
        <a:ext cx="245349" cy="196305"/>
      </dsp:txXfrm>
    </dsp:sp>
    <dsp:sp modelId="{D5E8E0AE-23F6-4E76-8328-51470CC4E219}">
      <dsp:nvSpPr>
        <dsp:cNvPr id="0" name=""/>
        <dsp:cNvSpPr/>
      </dsp:nvSpPr>
      <dsp:spPr>
        <a:xfrm>
          <a:off x="6018500" y="614269"/>
          <a:ext cx="575609" cy="575609"/>
        </a:xfrm>
        <a:prstGeom prst="rect">
          <a:avLst/>
        </a:prstGeom>
        <a:solidFill>
          <a:schemeClr val="accent1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700" kern="1200" dirty="0"/>
            <a:t>Gasto total en cuidados a larga duración</a:t>
          </a:r>
        </a:p>
      </dsp:txBody>
      <dsp:txXfrm>
        <a:off x="6018500" y="614269"/>
        <a:ext cx="575609" cy="57560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equation1">
  <dgm:title val=""/>
  <dgm:desc val=""/>
  <dgm:catLst>
    <dgm:cat type="relationship" pri="17000"/>
    <dgm:cat type="process" pri="2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choose name="Name0">
      <dgm:if name="Name1" func="var" arg="dir" op="equ" val="norm">
        <dgm:alg type="lin">
          <dgm:param type="fallback" val="2D"/>
        </dgm:alg>
      </dgm:if>
      <dgm:else name="Name2">
        <dgm:alg type="lin">
          <dgm:param type="linDir" val="fromR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fact="0.58"/>
      <dgm:constr type="primFontSz" for="ch" ptType="node" op="equ" val="65"/>
      <dgm:constr type="primFontSz" for="ch" ptType="sibTrans" op="equ" val="55"/>
      <dgm:constr type="primFontSz" for="ch" ptType="sibTrans" refType="primFontSz" refFor="ch" refPtType="node" op="lte" fact="0.8"/>
      <dgm:constr type="w" for="ch" forName="spacerL" refType="w" refFor="ch" refPtType="sibTrans" fact="0.14"/>
      <dgm:constr type="w" for="ch" forName="spacerR" refType="w" refFor="ch" refPtType="sibTrans" fact="0.14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pacerL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ibTrans">
          <dgm:alg type="tx"/>
          <dgm:choose name="Name3">
            <dgm:if name="Name4" axis="followSib" ptType="sibTrans" func="cnt" op="equ" val="0">
              <dgm:shape xmlns:r="http://schemas.openxmlformats.org/officeDocument/2006/relationships" type="mathEqual" r:blip="">
                <dgm:adjLst/>
              </dgm:shape>
            </dgm:if>
            <dgm:else name="Name5">
              <dgm:shape xmlns:r="http://schemas.openxmlformats.org/officeDocument/2006/relationships" type="mathPlus" r:blip="">
                <dgm:adjLst/>
              </dgm:shape>
            </dgm:else>
          </dgm:choose>
          <dgm:presOf axis="self"/>
          <dgm:constrLst>
            <dgm:constr type="h" refType="w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  <dgm:layoutNode name="spacerR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equation1">
  <dgm:title val=""/>
  <dgm:desc val=""/>
  <dgm:catLst>
    <dgm:cat type="relationship" pri="17000"/>
    <dgm:cat type="process" pri="2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choose name="Name0">
      <dgm:if name="Name1" func="var" arg="dir" op="equ" val="norm">
        <dgm:alg type="lin">
          <dgm:param type="fallback" val="2D"/>
        </dgm:alg>
      </dgm:if>
      <dgm:else name="Name2">
        <dgm:alg type="lin">
          <dgm:param type="linDir" val="fromR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fact="0.58"/>
      <dgm:constr type="primFontSz" for="ch" ptType="node" op="equ" val="65"/>
      <dgm:constr type="primFontSz" for="ch" ptType="sibTrans" op="equ" val="55"/>
      <dgm:constr type="primFontSz" for="ch" ptType="sibTrans" refType="primFontSz" refFor="ch" refPtType="node" op="lte" fact="0.8"/>
      <dgm:constr type="w" for="ch" forName="spacerL" refType="w" refFor="ch" refPtType="sibTrans" fact="0.14"/>
      <dgm:constr type="w" for="ch" forName="spacerR" refType="w" refFor="ch" refPtType="sibTrans" fact="0.14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pacerL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ibTrans">
          <dgm:alg type="tx"/>
          <dgm:choose name="Name3">
            <dgm:if name="Name4" axis="followSib" ptType="sibTrans" func="cnt" op="equ" val="0">
              <dgm:shape xmlns:r="http://schemas.openxmlformats.org/officeDocument/2006/relationships" type="mathEqual" r:blip="">
                <dgm:adjLst/>
              </dgm:shape>
            </dgm:if>
            <dgm:else name="Name5">
              <dgm:shape xmlns:r="http://schemas.openxmlformats.org/officeDocument/2006/relationships" type="mathPlus" r:blip="">
                <dgm:adjLst/>
              </dgm:shape>
            </dgm:else>
          </dgm:choose>
          <dgm:presOf axis="self"/>
          <dgm:constrLst>
            <dgm:constr type="h" refType="w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  <dgm:layoutNode name="spacerR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equation1">
  <dgm:title val=""/>
  <dgm:desc val=""/>
  <dgm:catLst>
    <dgm:cat type="relationship" pri="17000"/>
    <dgm:cat type="process" pri="2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choose name="Name0">
      <dgm:if name="Name1" func="var" arg="dir" op="equ" val="norm">
        <dgm:alg type="lin">
          <dgm:param type="fallback" val="2D"/>
        </dgm:alg>
      </dgm:if>
      <dgm:else name="Name2">
        <dgm:alg type="lin">
          <dgm:param type="linDir" val="fromR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fact="0.58"/>
      <dgm:constr type="primFontSz" for="ch" ptType="node" op="equ" val="65"/>
      <dgm:constr type="primFontSz" for="ch" ptType="sibTrans" op="equ" val="55"/>
      <dgm:constr type="primFontSz" for="ch" ptType="sibTrans" refType="primFontSz" refFor="ch" refPtType="node" op="lte" fact="0.8"/>
      <dgm:constr type="w" for="ch" forName="spacerL" refType="w" refFor="ch" refPtType="sibTrans" fact="0.14"/>
      <dgm:constr type="w" for="ch" forName="spacerR" refType="w" refFor="ch" refPtType="sibTrans" fact="0.14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pacerL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ibTrans">
          <dgm:alg type="tx"/>
          <dgm:choose name="Name3">
            <dgm:if name="Name4" axis="followSib" ptType="sibTrans" func="cnt" op="equ" val="0">
              <dgm:shape xmlns:r="http://schemas.openxmlformats.org/officeDocument/2006/relationships" type="mathEqual" r:blip="">
                <dgm:adjLst/>
              </dgm:shape>
            </dgm:if>
            <dgm:else name="Name5">
              <dgm:shape xmlns:r="http://schemas.openxmlformats.org/officeDocument/2006/relationships" type="mathPlus" r:blip="">
                <dgm:adjLst/>
              </dgm:shape>
            </dgm:else>
          </dgm:choose>
          <dgm:presOf axis="self"/>
          <dgm:constrLst>
            <dgm:constr type="h" refType="w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  <dgm:layoutNode name="spacerR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equation1">
  <dgm:title val=""/>
  <dgm:desc val=""/>
  <dgm:catLst>
    <dgm:cat type="relationship" pri="17000"/>
    <dgm:cat type="process" pri="2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choose name="Name0">
      <dgm:if name="Name1" func="var" arg="dir" op="equ" val="norm">
        <dgm:alg type="lin">
          <dgm:param type="fallback" val="2D"/>
        </dgm:alg>
      </dgm:if>
      <dgm:else name="Name2">
        <dgm:alg type="lin">
          <dgm:param type="linDir" val="fromR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fact="0.58"/>
      <dgm:constr type="primFontSz" for="ch" ptType="node" op="equ" val="65"/>
      <dgm:constr type="primFontSz" for="ch" ptType="sibTrans" op="equ" val="55"/>
      <dgm:constr type="primFontSz" for="ch" ptType="sibTrans" refType="primFontSz" refFor="ch" refPtType="node" op="lte" fact="0.8"/>
      <dgm:constr type="w" for="ch" forName="spacerL" refType="w" refFor="ch" refPtType="sibTrans" fact="0.14"/>
      <dgm:constr type="w" for="ch" forName="spacerR" refType="w" refFor="ch" refPtType="sibTrans" fact="0.14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pacerL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ibTrans">
          <dgm:alg type="tx"/>
          <dgm:choose name="Name3">
            <dgm:if name="Name4" axis="followSib" ptType="sibTrans" func="cnt" op="equ" val="0">
              <dgm:shape xmlns:r="http://schemas.openxmlformats.org/officeDocument/2006/relationships" type="mathEqual" r:blip="">
                <dgm:adjLst/>
              </dgm:shape>
            </dgm:if>
            <dgm:else name="Name5">
              <dgm:shape xmlns:r="http://schemas.openxmlformats.org/officeDocument/2006/relationships" type="mathPlus" r:blip="">
                <dgm:adjLst/>
              </dgm:shape>
            </dgm:else>
          </dgm:choose>
          <dgm:presOf axis="self"/>
          <dgm:constrLst>
            <dgm:constr type="h" refType="w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  <dgm:layoutNode name="spacerR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equation1">
  <dgm:title val=""/>
  <dgm:desc val=""/>
  <dgm:catLst>
    <dgm:cat type="relationship" pri="17000"/>
    <dgm:cat type="process" pri="2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choose name="Name0">
      <dgm:if name="Name1" func="var" arg="dir" op="equ" val="norm">
        <dgm:alg type="lin">
          <dgm:param type="fallback" val="2D"/>
        </dgm:alg>
      </dgm:if>
      <dgm:else name="Name2">
        <dgm:alg type="lin">
          <dgm:param type="linDir" val="fromR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fact="0.58"/>
      <dgm:constr type="primFontSz" for="ch" ptType="node" op="equ" val="65"/>
      <dgm:constr type="primFontSz" for="ch" ptType="sibTrans" op="equ" val="55"/>
      <dgm:constr type="primFontSz" for="ch" ptType="sibTrans" refType="primFontSz" refFor="ch" refPtType="node" op="lte" fact="0.8"/>
      <dgm:constr type="w" for="ch" forName="spacerL" refType="w" refFor="ch" refPtType="sibTrans" fact="0.14"/>
      <dgm:constr type="w" for="ch" forName="spacerR" refType="w" refFor="ch" refPtType="sibTrans" fact="0.14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pacerL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ibTrans">
          <dgm:alg type="tx"/>
          <dgm:choose name="Name3">
            <dgm:if name="Name4" axis="followSib" ptType="sibTrans" func="cnt" op="equ" val="0">
              <dgm:shape xmlns:r="http://schemas.openxmlformats.org/officeDocument/2006/relationships" type="mathEqual" r:blip="">
                <dgm:adjLst/>
              </dgm:shape>
            </dgm:if>
            <dgm:else name="Name5">
              <dgm:shape xmlns:r="http://schemas.openxmlformats.org/officeDocument/2006/relationships" type="mathPlus" r:blip="">
                <dgm:adjLst/>
              </dgm:shape>
            </dgm:else>
          </dgm:choose>
          <dgm:presOf axis="self"/>
          <dgm:constrLst>
            <dgm:constr type="h" refType="w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  <dgm:layoutNode name="spacerR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21" Type="http://schemas.openxmlformats.org/officeDocument/2006/relationships/diagramData" Target="../diagrams/data5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5" Type="http://schemas.microsoft.com/office/2007/relationships/diagramDrawing" Target="../diagrams/drawing5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24" Type="http://schemas.openxmlformats.org/officeDocument/2006/relationships/diagramColors" Target="../diagrams/colors5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23" Type="http://schemas.openxmlformats.org/officeDocument/2006/relationships/diagramQuickStyle" Target="../diagrams/quickStyle5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Relationship Id="rId22" Type="http://schemas.openxmlformats.org/officeDocument/2006/relationships/diagramLayout" Target="../diagrams/layou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5</xdr:row>
      <xdr:rowOff>28575</xdr:rowOff>
    </xdr:from>
    <xdr:to>
      <xdr:col>9</xdr:col>
      <xdr:colOff>536614</xdr:colOff>
      <xdr:row>11</xdr:row>
      <xdr:rowOff>6595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37D7608-B7A7-4D70-86F0-010521742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409575</xdr:colOff>
      <xdr:row>15</xdr:row>
      <xdr:rowOff>133350</xdr:rowOff>
    </xdr:from>
    <xdr:to>
      <xdr:col>10</xdr:col>
      <xdr:colOff>628650</xdr:colOff>
      <xdr:row>19</xdr:row>
      <xdr:rowOff>169986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EEC03DCC-F617-4C48-AFBA-3D93EDC03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19050</xdr:colOff>
      <xdr:row>22</xdr:row>
      <xdr:rowOff>47625</xdr:rowOff>
    </xdr:from>
    <xdr:to>
      <xdr:col>10</xdr:col>
      <xdr:colOff>180975</xdr:colOff>
      <xdr:row>29</xdr:row>
      <xdr:rowOff>43774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8D76B5A9-3E55-4F4F-BB62-F4E9353DF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8</xdr:col>
      <xdr:colOff>270504</xdr:colOff>
      <xdr:row>35</xdr:row>
      <xdr:rowOff>146539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BAD6EC62-8F8C-4390-B2ED-E913ED20A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10</xdr:col>
      <xdr:colOff>422757</xdr:colOff>
      <xdr:row>48</xdr:row>
      <xdr:rowOff>89649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F76230A5-87C3-4933-9685-21A3FBBE6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1" r:lo="rId22" r:qs="rId23" r:cs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5</xdr:row>
      <xdr:rowOff>66675</xdr:rowOff>
    </xdr:from>
    <xdr:to>
      <xdr:col>17</xdr:col>
      <xdr:colOff>504825</xdr:colOff>
      <xdr:row>19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75C908-8EA9-454C-8039-C82BD3B60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422413</xdr:colOff>
      <xdr:row>27</xdr:row>
      <xdr:rowOff>9525</xdr:rowOff>
    </xdr:from>
    <xdr:to>
      <xdr:col>17</xdr:col>
      <xdr:colOff>422413</xdr:colOff>
      <xdr:row>43</xdr:row>
      <xdr:rowOff>47626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8144C1-F32F-40FE-9149-C5A7D788B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580335</xdr:colOff>
      <xdr:row>50</xdr:row>
      <xdr:rowOff>46244</xdr:rowOff>
    </xdr:from>
    <xdr:to>
      <xdr:col>17</xdr:col>
      <xdr:colOff>580335</xdr:colOff>
      <xdr:row>69</xdr:row>
      <xdr:rowOff>69021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7FECCE-9DBD-4C88-8932-4A75DAA9F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207065</xdr:colOff>
      <xdr:row>5</xdr:row>
      <xdr:rowOff>179456</xdr:rowOff>
    </xdr:from>
    <xdr:to>
      <xdr:col>26</xdr:col>
      <xdr:colOff>607392</xdr:colOff>
      <xdr:row>20</xdr:row>
      <xdr:rowOff>62396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61CC8B-0E23-4320-AE72-10D37E86F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386521</xdr:colOff>
      <xdr:row>28</xdr:row>
      <xdr:rowOff>82826</xdr:rowOff>
    </xdr:from>
    <xdr:to>
      <xdr:col>26</xdr:col>
      <xdr:colOff>676413</xdr:colOff>
      <xdr:row>42</xdr:row>
      <xdr:rowOff>159026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0A55BC-E532-4664-B94A-B661B1596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731631</xdr:colOff>
      <xdr:row>50</xdr:row>
      <xdr:rowOff>69021</xdr:rowOff>
    </xdr:from>
    <xdr:to>
      <xdr:col>26</xdr:col>
      <xdr:colOff>256762</xdr:colOff>
      <xdr:row>67</xdr:row>
      <xdr:rowOff>111952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5661840-9AE3-4492-86DD-68B3E8BE5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671512</xdr:colOff>
      <xdr:row>4</xdr:row>
      <xdr:rowOff>147637</xdr:rowOff>
    </xdr:from>
    <xdr:to>
      <xdr:col>15</xdr:col>
      <xdr:colOff>671512</xdr:colOff>
      <xdr:row>19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DD564F-E3DF-4A86-B192-97215DAD9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504825</xdr:colOff>
      <xdr:row>5</xdr:row>
      <xdr:rowOff>76200</xdr:rowOff>
    </xdr:from>
    <xdr:to>
      <xdr:col>22</xdr:col>
      <xdr:colOff>504825</xdr:colOff>
      <xdr:row>19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F78B16-3B3D-4F70-A122-C38862FE2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</xdr:colOff>
      <xdr:row>3</xdr:row>
      <xdr:rowOff>0</xdr:rowOff>
    </xdr:from>
    <xdr:to>
      <xdr:col>13</xdr:col>
      <xdr:colOff>33337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D4C0B0-1672-4F8A-B2D9-D1D934659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8</xdr:row>
      <xdr:rowOff>95250</xdr:rowOff>
    </xdr:from>
    <xdr:to>
      <xdr:col>11</xdr:col>
      <xdr:colOff>753750</xdr:colOff>
      <xdr:row>25</xdr:row>
      <xdr:rowOff>60600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4671C6-40D7-47AE-BA66-AFFD829D7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234951</xdr:colOff>
      <xdr:row>15</xdr:row>
      <xdr:rowOff>106953</xdr:rowOff>
    </xdr:from>
    <xdr:to>
      <xdr:col>18</xdr:col>
      <xdr:colOff>105833</xdr:colOff>
      <xdr:row>39</xdr:row>
      <xdr:rowOff>10583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96ECFDA-7016-4CD6-8370-0FB2FB0C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2171700</xdr:colOff>
      <xdr:row>7</xdr:row>
      <xdr:rowOff>97155</xdr:rowOff>
    </xdr:from>
    <xdr:to>
      <xdr:col>8</xdr:col>
      <xdr:colOff>274319</xdr:colOff>
      <xdr:row>26</xdr:row>
      <xdr:rowOff>91439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067A32-4C93-4EB2-B896-ADA610775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319087</xdr:colOff>
      <xdr:row>4</xdr:row>
      <xdr:rowOff>57150</xdr:rowOff>
    </xdr:from>
    <xdr:to>
      <xdr:col>8</xdr:col>
      <xdr:colOff>14287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720D0A-092D-4069-849F-666EDAF7A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538162</xdr:colOff>
      <xdr:row>4</xdr:row>
      <xdr:rowOff>57150</xdr:rowOff>
    </xdr:from>
    <xdr:to>
      <xdr:col>12</xdr:col>
      <xdr:colOff>538162</xdr:colOff>
      <xdr:row>16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BD897-D8F1-4044-94A6-DAFA1F4EA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10</xdr:row>
      <xdr:rowOff>66675</xdr:rowOff>
    </xdr:from>
    <xdr:to>
      <xdr:col>10</xdr:col>
      <xdr:colOff>447675</xdr:colOff>
      <xdr:row>24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2981FA-61D6-4C8E-8DE0-816C515EE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175421</xdr:colOff>
      <xdr:row>19</xdr:row>
      <xdr:rowOff>72717</xdr:rowOff>
    </xdr:from>
    <xdr:to>
      <xdr:col>22</xdr:col>
      <xdr:colOff>59531</xdr:colOff>
      <xdr:row>53</xdr:row>
      <xdr:rowOff>19844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CA2BABB-96C3-469C-82EC-FCE5E0D48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1798321</xdr:colOff>
      <xdr:row>8</xdr:row>
      <xdr:rowOff>144780</xdr:rowOff>
    </xdr:from>
    <xdr:to>
      <xdr:col>7</xdr:col>
      <xdr:colOff>566641</xdr:colOff>
      <xdr:row>27</xdr:row>
      <xdr:rowOff>162060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47A195-99B8-42D8-8347-454CB3547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80962</xdr:rowOff>
    </xdr:from>
    <xdr:to>
      <xdr:col>12</xdr:col>
      <xdr:colOff>609600</xdr:colOff>
      <xdr:row>20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97AA88-4FBA-491B-9EC8-37007843F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984249</xdr:colOff>
      <xdr:row>6</xdr:row>
      <xdr:rowOff>116417</xdr:rowOff>
    </xdr:from>
    <xdr:to>
      <xdr:col>7</xdr:col>
      <xdr:colOff>329141</xdr:colOff>
      <xdr:row>21</xdr:row>
      <xdr:rowOff>6350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13A41A-2169-4FB6-8EC8-188EF1113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538055</xdr:colOff>
      <xdr:row>7</xdr:row>
      <xdr:rowOff>170180</xdr:rowOff>
    </xdr:from>
    <xdr:to>
      <xdr:col>12</xdr:col>
      <xdr:colOff>0</xdr:colOff>
      <xdr:row>22</xdr:row>
      <xdr:rowOff>60113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FD3C0A-79BC-423B-B854-D7D86934C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14</xdr:row>
      <xdr:rowOff>0</xdr:rowOff>
    </xdr:from>
    <xdr:to>
      <xdr:col>32</xdr:col>
      <xdr:colOff>760095</xdr:colOff>
      <xdr:row>28</xdr:row>
      <xdr:rowOff>24554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126102-9F86-4D70-9DBE-2BCF41CDD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690562</xdr:colOff>
      <xdr:row>9</xdr:row>
      <xdr:rowOff>76200</xdr:rowOff>
    </xdr:from>
    <xdr:to>
      <xdr:col>11</xdr:col>
      <xdr:colOff>690562</xdr:colOff>
      <xdr:row>23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E0FBAC-2A61-449B-BA42-34CF29640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antos\AppData\Local\Microsoft\Windows\INetCache\Content.Outlook\5FF7H5RU\GR&#193;FICOS%20Y%20CUADROS%20OPINI&#211;N%20HFLP%202025.xlsx" TargetMode="External"/><Relationship Id="rId1" Type="http://schemas.openxmlformats.org/officeDocument/2006/relationships/externalLinkPath" Target="/Users/asantos/AppData/Local/Microsoft/Windows/INetCache/Content.Outlook/5FF7H5RU/GR&#193;FICOS%20Y%20CUADROS%20OPINI&#211;N%20HFLP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IVISI&#211;N%20AN&#193;LISIS%20PRESUPUESTARIO\5-%20CCAA\modelo_sanidad_educacion_cuidados\04_Salidas\Resultados\Opinion_2025\Sal_San_Edu_Base.xlsx" TargetMode="External"/><Relationship Id="rId1" Type="http://schemas.openxmlformats.org/officeDocument/2006/relationships/externalLinkPath" Target="file:///Z:\DIVISI&#211;N%20AN&#193;LISIS%20PRESUPUESTARIO\5-%20CCAA\modelo_sanidad_educacion_cuidados\04_Salidas\Resultados\Opinion_2025\Sal_San_Edu_Ba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acro-Presupuestario\Opinion_HFLP\2025\04_Sanidad\Desglose_tasas_sanidad_opinion_2025.xlsx" TargetMode="External"/><Relationship Id="rId1" Type="http://schemas.openxmlformats.org/officeDocument/2006/relationships/externalLinkPath" Target="file:///Z:\Macro-Presupuestario\Opinion_HFLP\2025\04_Sanidad\Desglose_tasas_sanidad_opinion_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stos%20sanitarios\EGSP%20SHA%20Gasto%20Rea2006%20defl%20camiado%20el%20tema%20de%20las%20ciudades%20autonomas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jrelano\Configuraci&#243;n%20local\Archivos%20temporales%20de%20Internet\OLKA\GSP_2003\GASA_98-03-_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_CIFS_01\Ficheros\AIREF\SeguridadSocial\Sanidad\Modelo2015\ProyeccionesSanidad2015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acro-Presupuestario\Opinion_HFLP\2025\05_Educacion\Desglose_tasas_educacion_opinion_2025.xlsx" TargetMode="External"/><Relationship Id="rId1" Type="http://schemas.openxmlformats.org/officeDocument/2006/relationships/externalLinkPath" Target="file:///Z:\Macro-Presupuestario\Opinion_HFLP\2025\05_Educacion\Desglose_tasas_educacion_opinion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adro 1"/>
      <sheetName val="Cuadro 2"/>
      <sheetName val="Cuadro 3"/>
      <sheetName val="Cuadro 4"/>
      <sheetName val="RE 1. Cuadro 1"/>
      <sheetName val="Cuadro 5"/>
      <sheetName val="Cuadro 6"/>
      <sheetName val="Cuadro 7 "/>
      <sheetName val="Cuadro 8 "/>
      <sheetName val="Cuadro 9 "/>
      <sheetName val="Cuadro 10 "/>
      <sheetName val="Cuadro 11"/>
      <sheetName val="Cuadro 12"/>
      <sheetName val="Cuadro 13"/>
      <sheetName val="Cuadro 14"/>
      <sheetName val="Cuadro 15"/>
      <sheetName val="Cuadro 16"/>
      <sheetName val="Cuadro 17"/>
      <sheetName val="Cuadro 18"/>
      <sheetName val="Cuadro 19 "/>
      <sheetName val="Cuadro 20 "/>
      <sheetName val="Cuadro 21"/>
      <sheetName val="Cuadro 22 "/>
      <sheetName val="Cuadro  23 "/>
      <sheetName val="Cuadro 24"/>
      <sheetName val="Cuadro 25"/>
      <sheetName val="Gráfico 1A"/>
      <sheetName val="Gráfico 1B"/>
      <sheetName val="Gráfico 2A"/>
      <sheetName val="Gráfico 2B"/>
      <sheetName val="Gráfico 3A"/>
      <sheetName val="Gráfico 3B"/>
      <sheetName val="Gráfico 4A"/>
      <sheetName val="Gráfico 4B"/>
      <sheetName val="Gráfico 5A"/>
      <sheetName val="Gráfico 5B"/>
      <sheetName val="Gráfico 6A"/>
      <sheetName val="Gráfico 6B"/>
      <sheetName val="Gráfico 7A"/>
      <sheetName val="Gráfico 7B"/>
      <sheetName val="Gráfico 8A"/>
      <sheetName val="Gráfico 8B"/>
      <sheetName val="Gráfico 9A"/>
      <sheetName val="Gráfico 9B"/>
      <sheetName val="Gráfico 10A"/>
      <sheetName val="Gráfico 10B"/>
      <sheetName val="Gráfico 11A"/>
      <sheetName val="Gráfico 11B"/>
      <sheetName val="Gráfico 12A"/>
      <sheetName val="Gráfico 12B"/>
      <sheetName val="Gráfico 12C"/>
      <sheetName val="Gráfico 13"/>
      <sheetName val="Gráfico RE 1. 1"/>
      <sheetName val="Gráfico RE 1.2"/>
      <sheetName val="Gráfico RE 1.3"/>
      <sheetName val="Gráfico RE 1. 4"/>
      <sheetName val="Gráfico RE 1.5"/>
      <sheetName val="Gráfico RE 1.6"/>
      <sheetName val="Gráfico RE 1.7"/>
      <sheetName val="Gráfico RE 1.8"/>
      <sheetName val="Gráfico 14"/>
      <sheetName val="Gráfico 15"/>
      <sheetName val="Gráfico 16"/>
      <sheetName val="Gráfico 17"/>
      <sheetName val="Gráfico 18"/>
      <sheetName val="Gráfico 19"/>
      <sheetName val="Gráfico 20"/>
      <sheetName val="Gráfico 21"/>
      <sheetName val="Gráfico 22"/>
      <sheetName val="Gráfico 23"/>
      <sheetName val="Gráfico 24"/>
      <sheetName val="Gráfico 25A"/>
      <sheetName val="Gráfico 25B"/>
      <sheetName val="Gráfico 25C"/>
      <sheetName val="Gráfico 25D"/>
      <sheetName val="Gráfico 26"/>
      <sheetName val="Gráfico 27"/>
      <sheetName val="Gráfico 28A"/>
      <sheetName val="Gráfico 28B"/>
      <sheetName val="Gráfico 29"/>
      <sheetName val="Gráfico 30A"/>
      <sheetName val="Gráfico 30B"/>
      <sheetName val="Gráfico 31"/>
      <sheetName val="Gráfico 32"/>
      <sheetName val="Gráfico 33"/>
      <sheetName val="Gráfico 34"/>
      <sheetName val="Gráfico 35"/>
      <sheetName val="Gráfico 36"/>
      <sheetName val="Gráfico RE 2.1"/>
      <sheetName val="Gráfico RE 2.2"/>
      <sheetName val="Gráfico RE 2.3"/>
      <sheetName val="Gráfico 37"/>
      <sheetName val="Gráfico 38"/>
      <sheetName val="Gráfico 39"/>
      <sheetName val="Gráfico 40"/>
      <sheetName val="Gráfico 41"/>
      <sheetName val="Gráfico 42"/>
      <sheetName val="Gráfico 43"/>
      <sheetName val="Gráfico 44"/>
      <sheetName val="Gráfico 45"/>
      <sheetName val="Gráfico 46"/>
      <sheetName val="Gráfico 47"/>
      <sheetName val="Gráfico 48"/>
      <sheetName val="Gráfico 49"/>
      <sheetName val="Gráfico RE 3.1"/>
      <sheetName val="Gráfico RE 3.2"/>
      <sheetName val="Gráfico RE 3.3"/>
      <sheetName val="Gráfico RE 3.4"/>
      <sheetName val="Gráfico RE 3.5"/>
      <sheetName val="Gráfico RE 3.6"/>
      <sheetName val="Gráfico 50"/>
      <sheetName val="Gráfico 52"/>
      <sheetName val="Gráfico 53"/>
      <sheetName val="Gráfico 55"/>
      <sheetName val="Gráfico 56"/>
      <sheetName val="Gráfico 57"/>
      <sheetName val="Gráfico 58"/>
      <sheetName val="Gráfico 59"/>
      <sheetName val="Gráfico 60"/>
      <sheetName val="Gráfico RE 4.1"/>
      <sheetName val="Gráfico RE 4.2"/>
      <sheetName val="Gráfico RE 4.3"/>
      <sheetName val="Gráfico RE 4.4"/>
      <sheetName val="Gráfico 61"/>
      <sheetName val="Gráfico 62"/>
      <sheetName val="Gráfico 63"/>
      <sheetName val="Gráfico 64"/>
      <sheetName val="Gráfico 65"/>
      <sheetName val="Gráfico 66"/>
      <sheetName val="Gráfico 67"/>
      <sheetName val="Gráfico 68"/>
      <sheetName val="Gráfico 69"/>
      <sheetName val="Gráfico 70"/>
      <sheetName val="Gráfico 71"/>
      <sheetName val="Gráfico 72"/>
      <sheetName val="Gráfico 73"/>
      <sheetName val="Gráfico 74"/>
      <sheetName val="Gráfico 75"/>
      <sheetName val="Gráfico 76"/>
      <sheetName val="Gráfico 77A"/>
      <sheetName val="Gráfico 77B"/>
      <sheetName val="Gráfico 78"/>
      <sheetName val="Gráfico 79"/>
      <sheetName val="Gráfico 80"/>
      <sheetName val="Gráfico 81"/>
      <sheetName val="Gráfico 82"/>
      <sheetName val="Gráfico 83"/>
      <sheetName val="Gráfico 84"/>
      <sheetName val="Gráfico 85"/>
      <sheetName val="Gráfico 86"/>
      <sheetName val="Gráfico 87"/>
      <sheetName val="Gráfico 88"/>
      <sheetName val="Gráfico 89"/>
      <sheetName val="Gráfico 90"/>
      <sheetName val="Gráfico 91"/>
      <sheetName val="Gráfico 92"/>
      <sheetName val="Gráfico 93"/>
      <sheetName val="Gráfico 94"/>
      <sheetName val="Gráfico 95"/>
      <sheetName val="Gráfico 96"/>
      <sheetName val="Gráfico 97"/>
      <sheetName val="Gráfico 98"/>
      <sheetName val="Gráfico 99"/>
      <sheetName val="Gráfico 100"/>
      <sheetName val="Gráfico 101"/>
      <sheetName val="Gráfico 102"/>
      <sheetName val="Gráfico 103"/>
      <sheetName val="Gráfico 104"/>
      <sheetName val="Gráfico 105"/>
      <sheetName val="Gráfico 106"/>
      <sheetName val="Gráfico 107"/>
      <sheetName val="Gráfico 108"/>
      <sheetName val="Gráfico 109"/>
      <sheetName val="Gráfico 110"/>
      <sheetName val="Gráfico 111"/>
      <sheetName val="Gráfico 112"/>
      <sheetName val="Gráfico 113"/>
      <sheetName val="Gráfico 115"/>
      <sheetName val="Gráfico 116"/>
      <sheetName val="Gráfico 117"/>
      <sheetName val="Gráfico 118"/>
      <sheetName val="Gráfico 119"/>
      <sheetName val="Gráfico 120"/>
      <sheetName val="Gráfico 121"/>
      <sheetName val="Gráfico 122"/>
      <sheetName val="Gráfico 123"/>
      <sheetName val="Gráfico 124"/>
      <sheetName val="Gráfico 125"/>
      <sheetName val="Gráfico 1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idad"/>
      <sheetName val="educacion"/>
      <sheetName val="ltc"/>
      <sheetName val="DATOS_MODELOS_PIB"/>
      <sheetName val="Anexo_CLD"/>
    </sheetNames>
    <sheetDataSet>
      <sheetData sheetId="0"/>
      <sheetData sheetId="1"/>
      <sheetData sheetId="2"/>
      <sheetData sheetId="3">
        <row r="2">
          <cell r="A2">
            <v>2024</v>
          </cell>
          <cell r="C2">
            <v>4.0631713772665098E-2</v>
          </cell>
          <cell r="G2">
            <v>0.79982749962524124</v>
          </cell>
        </row>
        <row r="3">
          <cell r="A3">
            <v>2025</v>
          </cell>
          <cell r="C3">
            <v>4.0365116570536895E-2</v>
          </cell>
          <cell r="G3">
            <v>0.81873673803471214</v>
          </cell>
        </row>
        <row r="4">
          <cell r="A4">
            <v>2026</v>
          </cell>
          <cell r="C4">
            <v>3.9798076357339868E-2</v>
          </cell>
          <cell r="G4">
            <v>0.82252934700969493</v>
          </cell>
        </row>
        <row r="5">
          <cell r="A5">
            <v>2027</v>
          </cell>
          <cell r="C5">
            <v>3.9532091597367362E-2</v>
          </cell>
          <cell r="G5">
            <v>0.8200145492907589</v>
          </cell>
        </row>
        <row r="6">
          <cell r="A6">
            <v>2028</v>
          </cell>
          <cell r="C6">
            <v>3.9380491591904758E-2</v>
          </cell>
          <cell r="G6">
            <v>0.83291653310435176</v>
          </cell>
        </row>
        <row r="7">
          <cell r="A7">
            <v>2029</v>
          </cell>
          <cell r="C7">
            <v>3.9204402783694525E-2</v>
          </cell>
          <cell r="G7">
            <v>0.84674223803358895</v>
          </cell>
        </row>
        <row r="8">
          <cell r="A8">
            <v>2030</v>
          </cell>
          <cell r="C8">
            <v>3.8988162501084049E-2</v>
          </cell>
          <cell r="G8">
            <v>0.86632680288995834</v>
          </cell>
        </row>
        <row r="9">
          <cell r="A9">
            <v>2031</v>
          </cell>
          <cell r="C9">
            <v>3.869360779728416E-2</v>
          </cell>
          <cell r="G9">
            <v>0.8922573861483033</v>
          </cell>
        </row>
        <row r="10">
          <cell r="A10">
            <v>2032</v>
          </cell>
          <cell r="C10">
            <v>3.82704097206387E-2</v>
          </cell>
          <cell r="G10">
            <v>0.9131656308471936</v>
          </cell>
        </row>
        <row r="11">
          <cell r="A11">
            <v>2033</v>
          </cell>
          <cell r="C11">
            <v>3.7753420016038083E-2</v>
          </cell>
          <cell r="G11">
            <v>0.9369834444580275</v>
          </cell>
        </row>
        <row r="12">
          <cell r="A12">
            <v>2034</v>
          </cell>
          <cell r="C12">
            <v>3.7204850242906588E-2</v>
          </cell>
          <cell r="G12">
            <v>0.96281024416091965</v>
          </cell>
        </row>
        <row r="13">
          <cell r="A13">
            <v>2035</v>
          </cell>
          <cell r="C13">
            <v>3.6669804095370913E-2</v>
          </cell>
          <cell r="G13">
            <v>0.98682948791418146</v>
          </cell>
        </row>
        <row r="14">
          <cell r="A14">
            <v>2036</v>
          </cell>
          <cell r="C14">
            <v>3.6154851444705094E-2</v>
          </cell>
          <cell r="G14">
            <v>1.0140925768327189</v>
          </cell>
        </row>
        <row r="15">
          <cell r="A15">
            <v>2037</v>
          </cell>
          <cell r="C15">
            <v>3.5676271877629458E-2</v>
          </cell>
          <cell r="G15">
            <v>1.0386235140289679</v>
          </cell>
        </row>
        <row r="16">
          <cell r="A16">
            <v>2038</v>
          </cell>
          <cell r="C16">
            <v>3.5258243352973673E-2</v>
          </cell>
          <cell r="G16">
            <v>1.0668262851641368</v>
          </cell>
        </row>
        <row r="17">
          <cell r="A17">
            <v>2039</v>
          </cell>
          <cell r="C17">
            <v>3.4893196000230192E-2</v>
          </cell>
          <cell r="G17">
            <v>1.0977801688501259</v>
          </cell>
        </row>
        <row r="18">
          <cell r="A18">
            <v>2040</v>
          </cell>
          <cell r="C18">
            <v>3.45876193585005E-2</v>
          </cell>
          <cell r="G18">
            <v>1.1266200394415276</v>
          </cell>
        </row>
        <row r="19">
          <cell r="A19">
            <v>2041</v>
          </cell>
          <cell r="C19">
            <v>3.4339733128728657E-2</v>
          </cell>
          <cell r="G19">
            <v>1.1553837933909843</v>
          </cell>
        </row>
        <row r="20">
          <cell r="A20">
            <v>2042</v>
          </cell>
          <cell r="C20">
            <v>3.4164446198088103E-2</v>
          </cell>
          <cell r="G20">
            <v>1.1839203873991806</v>
          </cell>
        </row>
        <row r="21">
          <cell r="A21">
            <v>2043</v>
          </cell>
          <cell r="C21">
            <v>3.4061514277384596E-2</v>
          </cell>
          <cell r="G21">
            <v>1.2148512983832036</v>
          </cell>
        </row>
        <row r="22">
          <cell r="A22">
            <v>2044</v>
          </cell>
          <cell r="C22">
            <v>3.4002990557258583E-2</v>
          </cell>
          <cell r="G22">
            <v>1.2467773053616902</v>
          </cell>
        </row>
        <row r="23">
          <cell r="A23">
            <v>2045</v>
          </cell>
          <cell r="C23">
            <v>3.400519706779323E-2</v>
          </cell>
          <cell r="G23">
            <v>1.2782649073770167</v>
          </cell>
        </row>
        <row r="24">
          <cell r="A24">
            <v>2046</v>
          </cell>
          <cell r="C24">
            <v>3.4053097521287469E-2</v>
          </cell>
          <cell r="G24">
            <v>1.3096139449460382</v>
          </cell>
        </row>
        <row r="25">
          <cell r="A25">
            <v>2047</v>
          </cell>
          <cell r="C25">
            <v>3.414463725359939E-2</v>
          </cell>
          <cell r="G25">
            <v>1.341041380943222</v>
          </cell>
        </row>
        <row r="26">
          <cell r="A26">
            <v>2048</v>
          </cell>
          <cell r="C26">
            <v>3.4271440769306917E-2</v>
          </cell>
          <cell r="G26">
            <v>1.3748631405325891</v>
          </cell>
        </row>
        <row r="27">
          <cell r="A27">
            <v>2049</v>
          </cell>
          <cell r="C27">
            <v>3.44183327317482E-2</v>
          </cell>
          <cell r="G27">
            <v>1.4087262143273687</v>
          </cell>
        </row>
        <row r="28">
          <cell r="A28">
            <v>2050</v>
          </cell>
          <cell r="C28">
            <v>3.4583897272748701E-2</v>
          </cell>
          <cell r="G28">
            <v>1.4432639656804418</v>
          </cell>
        </row>
        <row r="29">
          <cell r="A29">
            <v>2051</v>
          </cell>
          <cell r="C29">
            <v>3.4748506744854704E-2</v>
          </cell>
          <cell r="G29">
            <v>1.4693203531637691</v>
          </cell>
        </row>
        <row r="30">
          <cell r="A30">
            <v>2052</v>
          </cell>
          <cell r="C30">
            <v>3.4916425891652371E-2</v>
          </cell>
          <cell r="G30">
            <v>1.4942126137103442</v>
          </cell>
        </row>
        <row r="31">
          <cell r="A31">
            <v>2053</v>
          </cell>
          <cell r="C31">
            <v>3.5082027321941038E-2</v>
          </cell>
          <cell r="G31">
            <v>1.5199491157389922</v>
          </cell>
        </row>
        <row r="32">
          <cell r="A32">
            <v>2054</v>
          </cell>
          <cell r="C32">
            <v>3.5241608047731084E-2</v>
          </cell>
          <cell r="G32">
            <v>1.5446185028779646</v>
          </cell>
        </row>
        <row r="33">
          <cell r="A33">
            <v>2055</v>
          </cell>
          <cell r="C33">
            <v>3.5400147730618357E-2</v>
          </cell>
          <cell r="G33">
            <v>1.5703427343809835</v>
          </cell>
        </row>
        <row r="34">
          <cell r="A34">
            <v>2056</v>
          </cell>
          <cell r="C34">
            <v>3.5541034224074307E-2</v>
          </cell>
          <cell r="G34">
            <v>1.5940582139989621</v>
          </cell>
        </row>
        <row r="35">
          <cell r="A35">
            <v>2057</v>
          </cell>
          <cell r="C35">
            <v>3.5677954723579978E-2</v>
          </cell>
          <cell r="G35">
            <v>1.6165209814481678</v>
          </cell>
        </row>
        <row r="36">
          <cell r="A36">
            <v>2058</v>
          </cell>
          <cell r="C36">
            <v>3.5786694203809442E-2</v>
          </cell>
          <cell r="G36">
            <v>1.6379449692928083</v>
          </cell>
        </row>
        <row r="37">
          <cell r="A37">
            <v>2059</v>
          </cell>
          <cell r="C37">
            <v>3.5879336708781337E-2</v>
          </cell>
          <cell r="G37">
            <v>1.6576131216692878</v>
          </cell>
        </row>
        <row r="38">
          <cell r="A38">
            <v>2060</v>
          </cell>
          <cell r="C38">
            <v>3.5958379035219715E-2</v>
          </cell>
          <cell r="G38">
            <v>1.6763331864337945</v>
          </cell>
        </row>
        <row r="39">
          <cell r="A39">
            <v>2061</v>
          </cell>
          <cell r="C39">
            <v>3.6010958313785757E-2</v>
          </cell>
          <cell r="G39">
            <v>1.6931558680643066</v>
          </cell>
        </row>
        <row r="40">
          <cell r="A40">
            <v>2062</v>
          </cell>
          <cell r="C40">
            <v>3.6059687078387297E-2</v>
          </cell>
          <cell r="G40">
            <v>1.7084122298796298</v>
          </cell>
        </row>
        <row r="41">
          <cell r="A41">
            <v>2063</v>
          </cell>
          <cell r="C41">
            <v>3.6094714428898778E-2</v>
          </cell>
          <cell r="G41">
            <v>1.7221403723037267</v>
          </cell>
        </row>
        <row r="42">
          <cell r="A42">
            <v>2064</v>
          </cell>
          <cell r="C42">
            <v>3.6121824772421908E-2</v>
          </cell>
          <cell r="G42">
            <v>1.7332823316084092</v>
          </cell>
        </row>
        <row r="43">
          <cell r="A43">
            <v>2065</v>
          </cell>
          <cell r="C43">
            <v>3.6148768183643695E-2</v>
          </cell>
          <cell r="G43">
            <v>1.7429327014223011</v>
          </cell>
        </row>
        <row r="44">
          <cell r="A44">
            <v>2066</v>
          </cell>
          <cell r="C44">
            <v>3.6168498099613068E-2</v>
          </cell>
          <cell r="G44">
            <v>1.7509330301848915</v>
          </cell>
        </row>
        <row r="45">
          <cell r="A45">
            <v>2067</v>
          </cell>
          <cell r="C45">
            <v>3.619668898783044E-2</v>
          </cell>
          <cell r="G45">
            <v>1.7573036249573253</v>
          </cell>
        </row>
        <row r="46">
          <cell r="A46">
            <v>2068</v>
          </cell>
          <cell r="C46">
            <v>3.6216712380638401E-2</v>
          </cell>
          <cell r="G46">
            <v>1.7613117510730973</v>
          </cell>
        </row>
        <row r="47">
          <cell r="A47">
            <v>2069</v>
          </cell>
          <cell r="C47">
            <v>3.6245303062975812E-2</v>
          </cell>
          <cell r="G47">
            <v>1.7632752803989211</v>
          </cell>
        </row>
        <row r="48">
          <cell r="A48">
            <v>2070</v>
          </cell>
          <cell r="C48">
            <v>3.6278036763896369E-2</v>
          </cell>
          <cell r="G48">
            <v>1.7630711326927586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0">
          <cell r="B20">
            <v>5.4849994257629158</v>
          </cell>
          <cell r="C20">
            <v>5.2310288345240172</v>
          </cell>
          <cell r="D20">
            <v>4.047210565366389</v>
          </cell>
          <cell r="E20">
            <v>5.7433707501827893</v>
          </cell>
          <cell r="F20">
            <v>5.9144758800710253</v>
          </cell>
          <cell r="G20">
            <v>4.9707494808751678</v>
          </cell>
          <cell r="H20">
            <v>4.1211028346952627</v>
          </cell>
          <cell r="I20">
            <v>5.2748381476631225</v>
          </cell>
          <cell r="J20">
            <v>6.2321780549843995</v>
          </cell>
          <cell r="K20">
            <v>5.0764320058040822</v>
          </cell>
          <cell r="L20">
            <v>3.8538323590441781</v>
          </cell>
          <cell r="M20">
            <v>4.1142683500478698</v>
          </cell>
          <cell r="N20">
            <v>5.2535619799842559</v>
          </cell>
          <cell r="O20">
            <v>5.2462563712101797</v>
          </cell>
          <cell r="P20">
            <v>4.9751580767688806</v>
          </cell>
          <cell r="Q20">
            <v>3.8478192954471471</v>
          </cell>
          <cell r="R20">
            <v>4.3005563384635526</v>
          </cell>
        </row>
        <row r="40">
          <cell r="B40">
            <v>4.5542102618675475</v>
          </cell>
          <cell r="C40">
            <v>4.6442378702079621</v>
          </cell>
          <cell r="D40">
            <v>3.7416109986428379</v>
          </cell>
          <cell r="E40">
            <v>4.1650110729937762</v>
          </cell>
          <cell r="F40">
            <v>4.3412201884393786</v>
          </cell>
          <cell r="G40">
            <v>4.3685641413032847</v>
          </cell>
          <cell r="H40">
            <v>3.982584224753853</v>
          </cell>
          <cell r="I40">
            <v>4.5158159230614032</v>
          </cell>
          <cell r="J40">
            <v>5.0906749866657881</v>
          </cell>
          <cell r="K40">
            <v>3.7790484383141525</v>
          </cell>
          <cell r="L40">
            <v>3.6281670742104435</v>
          </cell>
          <cell r="M40">
            <v>3.843824800627015</v>
          </cell>
          <cell r="N40">
            <v>3.7287671374930076</v>
          </cell>
          <cell r="O40">
            <v>4.000496788982205</v>
          </cell>
          <cell r="P40">
            <v>4.0419616396182469</v>
          </cell>
          <cell r="Q40">
            <v>3.0459257445435135</v>
          </cell>
          <cell r="R40">
            <v>3.6609985511177938</v>
          </cell>
        </row>
        <row r="60">
          <cell r="B60">
            <v>0.93078916389536737</v>
          </cell>
          <cell r="C60">
            <v>0.58679096431605493</v>
          </cell>
          <cell r="D60">
            <v>0.30559956672355171</v>
          </cell>
          <cell r="E60">
            <v>1.5783596771890136</v>
          </cell>
          <cell r="F60">
            <v>1.5732556916316465</v>
          </cell>
          <cell r="G60">
            <v>0.60218533957188269</v>
          </cell>
          <cell r="H60">
            <v>0.13851860994140947</v>
          </cell>
          <cell r="I60">
            <v>0.75902222460171909</v>
          </cell>
          <cell r="J60">
            <v>1.1415030683186109</v>
          </cell>
          <cell r="K60">
            <v>1.2973835674899303</v>
          </cell>
          <cell r="L60">
            <v>0.22566528483373449</v>
          </cell>
          <cell r="M60">
            <v>0.27044354942085369</v>
          </cell>
          <cell r="N60">
            <v>1.5247948424912485</v>
          </cell>
          <cell r="O60">
            <v>1.245759582227975</v>
          </cell>
          <cell r="P60">
            <v>0.93319643715063205</v>
          </cell>
          <cell r="Q60">
            <v>0.80189355090363412</v>
          </cell>
          <cell r="R60">
            <v>0.63955778734575819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CUENSA"/>
      <sheetName val="BASEDAT"/>
      <sheetName val="SERIE_02_06"/>
      <sheetName val="Tabla dinámica de financiación"/>
      <sheetName val="ASOCIALES"/>
      <sheetName val="%PIB"/>
    </sheetNames>
    <sheetDataSet>
      <sheetData sheetId="0" refreshError="1">
        <row r="1">
          <cell r="L1" t="str">
            <v>BUS</v>
          </cell>
          <cell r="M1" t="str">
            <v>COD</v>
          </cell>
          <cell r="N1" t="str">
            <v>ROT</v>
          </cell>
          <cell r="R1">
            <v>1</v>
          </cell>
          <cell r="S1">
            <v>2</v>
          </cell>
          <cell r="T1">
            <v>3</v>
          </cell>
          <cell r="U1">
            <v>4</v>
          </cell>
          <cell r="V1">
            <v>5</v>
          </cell>
          <cell r="W1">
            <v>6</v>
          </cell>
          <cell r="X1">
            <v>7</v>
          </cell>
          <cell r="Y1">
            <v>8</v>
          </cell>
        </row>
        <row r="2">
          <cell r="L2">
            <v>1</v>
          </cell>
          <cell r="M2" t="str">
            <v>*</v>
          </cell>
          <cell r="N2" t="str">
            <v>GASTO CONTABLE NO DEPURADO</v>
          </cell>
          <cell r="S2" t="str">
            <v>GRUPO</v>
          </cell>
          <cell r="T2" t="str">
            <v>SECTOR</v>
          </cell>
          <cell r="U2" t="str">
            <v>AGENTE DE GASTO</v>
          </cell>
          <cell r="W2" t="str">
            <v>AEM</v>
          </cell>
        </row>
        <row r="3">
          <cell r="L3">
            <v>2</v>
          </cell>
          <cell r="M3" t="str">
            <v>NC</v>
          </cell>
          <cell r="N3" t="str">
            <v>GASTO CONSOLIDADO DEL SECTOR</v>
          </cell>
          <cell r="R3">
            <v>1</v>
          </cell>
          <cell r="S3" t="str">
            <v>EST</v>
          </cell>
          <cell r="T3" t="str">
            <v>*</v>
          </cell>
          <cell r="U3" t="str">
            <v>*</v>
          </cell>
          <cell r="V3" t="str">
            <v>2.1  ADMINISTRACIÓN CENTRAL</v>
          </cell>
          <cell r="W3" t="str">
            <v>3.1  ADMINISTRACIÓN CENTRAL</v>
          </cell>
          <cell r="X3" t="str">
            <v>3.1.0 ADMINISTRACIÓN CENTRAL</v>
          </cell>
          <cell r="Y3" t="str">
            <v>ADMINISTRACIÓN CENTRAL</v>
          </cell>
        </row>
        <row r="4">
          <cell r="L4">
            <v>3</v>
          </cell>
          <cell r="M4" t="str">
            <v>CI</v>
          </cell>
          <cell r="N4" t="str">
            <v xml:space="preserve">GASTO TOTAL CONSOLIDADO </v>
          </cell>
          <cell r="R4">
            <v>2</v>
          </cell>
          <cell r="S4" t="str">
            <v>EST</v>
          </cell>
          <cell r="T4" t="str">
            <v>MAP</v>
          </cell>
          <cell r="U4" t="str">
            <v>MAP</v>
          </cell>
          <cell r="V4" t="str">
            <v>2.1  ADMINISTRACIÓN CENTRAL</v>
          </cell>
          <cell r="W4" t="str">
            <v>3.1  ADMINISTRACIÓN CENTRAL</v>
          </cell>
          <cell r="X4" t="str">
            <v>3.1.6  MINISTERIO DE ADMINISTRACIONES PÚBLICAS</v>
          </cell>
          <cell r="Y4" t="str">
            <v xml:space="preserve">      MINISTERIO DE ADMINISTRACIONES PÚBLICAS</v>
          </cell>
        </row>
        <row r="5">
          <cell r="R5">
            <v>3</v>
          </cell>
          <cell r="S5" t="str">
            <v>EST</v>
          </cell>
          <cell r="T5" t="str">
            <v xml:space="preserve">MD </v>
          </cell>
          <cell r="U5" t="str">
            <v xml:space="preserve">MD </v>
          </cell>
          <cell r="V5" t="str">
            <v>2.1  ADMINISTRACIÓN CENTRAL</v>
          </cell>
          <cell r="W5" t="str">
            <v>3.1  ADMINISTRACIÓN CENTRAL</v>
          </cell>
          <cell r="X5" t="str">
            <v>3.1.3  MINISTERIO DE DEFENSA</v>
          </cell>
          <cell r="Y5" t="str">
            <v xml:space="preserve">      MINISTERIO DE DEFENSA</v>
          </cell>
        </row>
        <row r="6">
          <cell r="L6" t="str">
            <v>BUS</v>
          </cell>
          <cell r="M6" t="str">
            <v>COD</v>
          </cell>
          <cell r="N6" t="str">
            <v>ROT</v>
          </cell>
          <cell r="R6">
            <v>4</v>
          </cell>
          <cell r="S6" t="str">
            <v>EST</v>
          </cell>
          <cell r="T6" t="str">
            <v>MEC</v>
          </cell>
          <cell r="U6" t="str">
            <v>MEC</v>
          </cell>
          <cell r="V6" t="str">
            <v>2.1  ADMINISTRACIÓN CENTRAL</v>
          </cell>
          <cell r="W6" t="str">
            <v>3.1  ADMINISTRACIÓN CENTRAL</v>
          </cell>
          <cell r="X6" t="str">
            <v>3.1.4  MINISTERIO DE EDUCACIÓN, CULTURA Y DEPORTE</v>
          </cell>
          <cell r="Y6" t="str">
            <v xml:space="preserve">      MINISTERIO DE EDUCACIÓN Y CIENCIA</v>
          </cell>
        </row>
        <row r="7">
          <cell r="L7">
            <v>1</v>
          </cell>
          <cell r="M7" t="str">
            <v>euros</v>
          </cell>
          <cell r="N7">
            <v>1</v>
          </cell>
          <cell r="R7">
            <v>5</v>
          </cell>
          <cell r="S7" t="str">
            <v>EST</v>
          </cell>
          <cell r="T7" t="str">
            <v>MJI</v>
          </cell>
          <cell r="U7" t="str">
            <v>MJI</v>
          </cell>
          <cell r="V7" t="str">
            <v>2.1  ADMINISTRACIÓN CENTRAL</v>
          </cell>
          <cell r="W7" t="str">
            <v>3.1  ADMINISTRACIÓN CENTRAL</v>
          </cell>
          <cell r="X7" t="str">
            <v>3.1.2  MINISTERIO DE INTERIOR</v>
          </cell>
          <cell r="Y7" t="str">
            <v xml:space="preserve">      MINISTERIO DE INTERIOR</v>
          </cell>
        </row>
        <row r="8">
          <cell r="L8">
            <v>2</v>
          </cell>
          <cell r="R8">
            <v>6</v>
          </cell>
          <cell r="S8" t="str">
            <v>EST</v>
          </cell>
          <cell r="T8" t="str">
            <v>MSC</v>
          </cell>
          <cell r="U8" t="str">
            <v>*</v>
          </cell>
          <cell r="V8" t="str">
            <v>2.1  ADMINISTRACIÓN CENTRAL</v>
          </cell>
          <cell r="W8" t="str">
            <v>3.1  ADMINISTRACIÓN CENTRAL</v>
          </cell>
          <cell r="X8" t="str">
            <v>3.1.1  MINISTERIO DE SANIDAD Y CONSUMO</v>
          </cell>
          <cell r="Y8" t="str">
            <v xml:space="preserve">      MINISTERIO DE SANIDAD Y CONSUMO</v>
          </cell>
        </row>
        <row r="9">
          <cell r="L9">
            <v>3</v>
          </cell>
          <cell r="M9" t="str">
            <v>Millones de euros</v>
          </cell>
          <cell r="N9">
            <v>1000000</v>
          </cell>
          <cell r="R9">
            <v>7</v>
          </cell>
          <cell r="S9" t="str">
            <v>EST</v>
          </cell>
          <cell r="T9" t="str">
            <v>MSC</v>
          </cell>
          <cell r="U9" t="str">
            <v>MSC</v>
          </cell>
          <cell r="V9" t="str">
            <v>2.1  ADMINISTRACIÓN CENTRAL</v>
          </cell>
          <cell r="W9" t="str">
            <v>3.1  ADMINISTRACIÓN CENTRAL</v>
          </cell>
          <cell r="X9" t="str">
            <v>3.1.1  MINISTERIO DE SANIDAD Y CONSUMO</v>
          </cell>
          <cell r="Y9" t="str">
            <v xml:space="preserve">              Ministerio de Sanidad y Consumo</v>
          </cell>
        </row>
        <row r="10">
          <cell r="L10">
            <v>4</v>
          </cell>
          <cell r="M10" t="str">
            <v>Miles de Euros</v>
          </cell>
          <cell r="N10">
            <v>1000</v>
          </cell>
          <cell r="R10">
            <v>8</v>
          </cell>
          <cell r="S10" t="str">
            <v>EST</v>
          </cell>
          <cell r="T10" t="str">
            <v>MSC</v>
          </cell>
          <cell r="U10" t="str">
            <v>ICIII</v>
          </cell>
          <cell r="V10" t="str">
            <v>2.1  ADMINISTRACIÓN CENTRAL</v>
          </cell>
          <cell r="W10" t="str">
            <v>3.1  ADMINISTRACIÓN CENTRAL</v>
          </cell>
          <cell r="X10" t="str">
            <v>3.1.1  MINISTERIO DE SANIDAD Y CONSUMO</v>
          </cell>
          <cell r="Y10" t="str">
            <v xml:space="preserve">              Instituto de Salud Carlos III</v>
          </cell>
        </row>
        <row r="11">
          <cell r="R11">
            <v>9</v>
          </cell>
          <cell r="S11" t="str">
            <v>EST</v>
          </cell>
          <cell r="T11" t="str">
            <v>MSC</v>
          </cell>
          <cell r="U11" t="str">
            <v>AEM</v>
          </cell>
          <cell r="V11" t="str">
            <v>2.1  ADMINISTRACIÓN CENTRAL</v>
          </cell>
          <cell r="W11" t="str">
            <v>3.1  ADMINISTRACIÓN CENTRAL</v>
          </cell>
          <cell r="X11" t="str">
            <v>3.1.1  MINISTERIO DE SANIDAD Y CONSUMO</v>
          </cell>
          <cell r="Y11" t="str">
            <v xml:space="preserve">              Agencia Española del Medicamento</v>
          </cell>
        </row>
        <row r="12">
          <cell r="R12">
            <v>10</v>
          </cell>
          <cell r="S12" t="str">
            <v>EST</v>
          </cell>
          <cell r="T12" t="str">
            <v>MSC</v>
          </cell>
          <cell r="U12" t="str">
            <v>AGESA</v>
          </cell>
          <cell r="V12" t="str">
            <v>2.1  ADMINISTRACIÓN CENTRAL</v>
          </cell>
          <cell r="W12" t="str">
            <v>3.1  ADMINISTRACIÓN CENTRAL</v>
          </cell>
          <cell r="X12" t="str">
            <v>3.1.1  MINISTERIO DE SANIDAD Y CONSUMO</v>
          </cell>
          <cell r="Y12" t="str">
            <v xml:space="preserve">              Agencia Española de Seguridad Alimentaria</v>
          </cell>
        </row>
        <row r="13">
          <cell r="R13">
            <v>11</v>
          </cell>
          <cell r="S13" t="str">
            <v>EST</v>
          </cell>
          <cell r="T13" t="str">
            <v>MSC</v>
          </cell>
          <cell r="U13" t="str">
            <v>FCNCARDIO-CIII</v>
          </cell>
          <cell r="V13" t="str">
            <v>2.1  ADMINISTRACIÓN CENTRAL</v>
          </cell>
          <cell r="W13" t="str">
            <v>3.1  ADMINISTRACIÓN CENTRAL</v>
          </cell>
          <cell r="X13" t="str">
            <v>3.1.1  MINISTERIO DE SANIDAD Y CONSUMO</v>
          </cell>
          <cell r="Y13" t="str">
            <v xml:space="preserve">              Fundación Centro Nacional de Investigaciones Cardiovaculares Carlos III</v>
          </cell>
        </row>
        <row r="14">
          <cell r="R14">
            <v>12</v>
          </cell>
          <cell r="S14" t="str">
            <v>EST</v>
          </cell>
          <cell r="T14" t="str">
            <v>MSC</v>
          </cell>
          <cell r="U14" t="str">
            <v>F.C.I.E.NEURO</v>
          </cell>
          <cell r="V14" t="str">
            <v>2.1  ADMINISTRACIÓN CENTRAL</v>
          </cell>
          <cell r="W14" t="str">
            <v>3.1  ADMINISTRACIÓN CENTRAL</v>
          </cell>
          <cell r="X14" t="str">
            <v>3.1.1  MINISTERIO DE SANIDAD Y CONSUMO</v>
          </cell>
          <cell r="Y14" t="str">
            <v xml:space="preserve">              Fundación Centro de Investigacióon de Enfermedades Neurológicas</v>
          </cell>
        </row>
        <row r="15">
          <cell r="R15">
            <v>13</v>
          </cell>
          <cell r="S15" t="str">
            <v>EST</v>
          </cell>
          <cell r="T15" t="str">
            <v>MSC</v>
          </cell>
          <cell r="U15" t="str">
            <v>FCOOP.S.INTERN-CIII</v>
          </cell>
          <cell r="V15" t="str">
            <v>2.1  ADMINISTRACIÓN CENTRAL</v>
          </cell>
          <cell r="W15" t="str">
            <v>3.1  ADMINISTRACIÓN CENTRAL</v>
          </cell>
          <cell r="X15" t="str">
            <v>3.1.1  MINISTERIO DE SANIDAD Y CONSUMO</v>
          </cell>
          <cell r="Y15" t="str">
            <v xml:space="preserve">              Fundación para la Cooperación y Salud Internacional Carlos III</v>
          </cell>
        </row>
        <row r="16">
          <cell r="R16">
            <v>14</v>
          </cell>
          <cell r="S16" t="str">
            <v>EST</v>
          </cell>
          <cell r="T16" t="str">
            <v>MSC</v>
          </cell>
          <cell r="U16" t="str">
            <v>F.I.GENO-PROTEO</v>
          </cell>
          <cell r="V16" t="str">
            <v>2.1  ADMINISTRACIÓN CENTRAL</v>
          </cell>
          <cell r="W16" t="str">
            <v>3.1  ADMINISTRACIÓN CENTRAL</v>
          </cell>
          <cell r="X16" t="str">
            <v>3.1.1  MINISTERIO DE SANIDAD Y CONSUMO</v>
          </cell>
          <cell r="Y16" t="str">
            <v xml:space="preserve">              Fundación para el desarrollo de la Investigación en Genómica y Proteónica</v>
          </cell>
        </row>
        <row r="17">
          <cell r="R17">
            <v>15</v>
          </cell>
          <cell r="S17" t="str">
            <v>EST</v>
          </cell>
          <cell r="T17" t="str">
            <v>MSC</v>
          </cell>
          <cell r="U17" t="str">
            <v>F.C.N..I.E.ONCO-CIII</v>
          </cell>
          <cell r="V17" t="str">
            <v>2.1  ADMINISTRACIÓN CENTRAL</v>
          </cell>
          <cell r="W17" t="str">
            <v>3.1  ADMINISTRACIÓN CENTRAL</v>
          </cell>
          <cell r="X17" t="str">
            <v>3.1.1  MINISTERIO DE SANIDAD Y CONSUMO</v>
          </cell>
          <cell r="Y17" t="str">
            <v xml:space="preserve">              Fundación Centro Nacional de Investigaciones Oncológicas Carlos III</v>
          </cell>
        </row>
        <row r="18">
          <cell r="R18">
            <v>16</v>
          </cell>
          <cell r="S18" t="str">
            <v>EST</v>
          </cell>
          <cell r="T18" t="str">
            <v>MSC</v>
          </cell>
          <cell r="U18" t="str">
            <v>CNT.Y.MR</v>
          </cell>
          <cell r="V18" t="str">
            <v>2.1  ADMINISTRACIÓN CENTRAL</v>
          </cell>
          <cell r="W18" t="str">
            <v>3.1  ADMINISTRACIÓN CENTRAL</v>
          </cell>
          <cell r="X18" t="str">
            <v>3.1.1  MINISTERIO DE SANIDAD Y CONSUMO</v>
          </cell>
          <cell r="Y18" t="str">
            <v xml:space="preserve">              Centro Nacional de Trasplantes y Medicina Regenerativa</v>
          </cell>
        </row>
        <row r="19">
          <cell r="R19">
            <v>17</v>
          </cell>
          <cell r="S19" t="str">
            <v>EST</v>
          </cell>
          <cell r="T19" t="str">
            <v>MEH</v>
          </cell>
          <cell r="U19" t="str">
            <v>HHTT</v>
          </cell>
          <cell r="V19" t="str">
            <v>2.1  ADMINISTRACIÓN CENTRAL</v>
          </cell>
          <cell r="W19" t="str">
            <v>3.1  ADMINISTRACIÓN CENTRAL</v>
          </cell>
          <cell r="X19" t="str">
            <v>3.1.5  MINISTERIO DE ECONOMÍA Y COMERCIO</v>
          </cell>
          <cell r="Y19" t="str">
            <v xml:space="preserve">      MINISTERIO DE ECONOMÍA Y HACIENDA</v>
          </cell>
        </row>
        <row r="20">
          <cell r="R20">
            <v>18</v>
          </cell>
          <cell r="S20" t="str">
            <v>AUT</v>
          </cell>
          <cell r="T20" t="str">
            <v>*</v>
          </cell>
          <cell r="U20" t="str">
            <v>*</v>
          </cell>
          <cell r="V20" t="str">
            <v>2.5  COMUNIDADES  AUTÓNOMAS NO TRANSFERIDAS</v>
          </cell>
          <cell r="W20" t="str">
            <v>2.5  COMUNIDADES  AUTÓNOMAS NO TRANSFERIDAS</v>
          </cell>
          <cell r="X20" t="str">
            <v>3.5.0 COMUNIDADES AUTÓNOMAS NO TRANSFERIDAS</v>
          </cell>
          <cell r="Y20" t="str">
            <v xml:space="preserve"> COMUNIDADES  AUTÓNOMAS NO TRANSFERIDAS</v>
          </cell>
        </row>
        <row r="21">
          <cell r="R21">
            <v>19</v>
          </cell>
          <cell r="S21" t="str">
            <v>TAUT</v>
          </cell>
          <cell r="T21" t="str">
            <v>*</v>
          </cell>
          <cell r="U21" t="str">
            <v>*</v>
          </cell>
          <cell r="V21" t="str">
            <v>2.4 COMUNIDADES AUTÓNOMAS TRANSFERIDAS</v>
          </cell>
          <cell r="W21" t="str">
            <v>3.4 COMUNIDADES AUTÓNOMAS TRANSFERIDAS</v>
          </cell>
          <cell r="X21" t="str">
            <v>3.4.0  CC. AA. TRANSFERIDAS</v>
          </cell>
          <cell r="Y21" t="str">
            <v>COMUNIDADES AUTÓNOMAS TRANSFERIDAS</v>
          </cell>
        </row>
        <row r="22">
          <cell r="R22">
            <v>20</v>
          </cell>
          <cell r="S22" t="str">
            <v>*</v>
          </cell>
          <cell r="T22" t="str">
            <v>ANDALUCIA</v>
          </cell>
          <cell r="U22" t="str">
            <v>*</v>
          </cell>
          <cell r="V22" t="str">
            <v>2.4 COMUNIDADES AUTÓNOMAS TRANSFERIDAS</v>
          </cell>
          <cell r="W22" t="str">
            <v>3.4 COMUNIDADES AUTÓNOMAS TRANSFERIDAS</v>
          </cell>
          <cell r="X22" t="str">
            <v>3.4.1  COMUNIDAD AUTÓNOMA DE ANDALUCIA</v>
          </cell>
          <cell r="Y22" t="str">
            <v xml:space="preserve">      COMUNIDAD AUTÓNOMA  DE ANDALUCIA</v>
          </cell>
        </row>
        <row r="23">
          <cell r="R23">
            <v>21</v>
          </cell>
          <cell r="S23" t="str">
            <v>*</v>
          </cell>
          <cell r="T23" t="str">
            <v>ANDALUCIA</v>
          </cell>
          <cell r="U23" t="str">
            <v>CSA</v>
          </cell>
          <cell r="V23" t="str">
            <v>2.4 COMUNIDADES AUTÓNOMAS TRANSFERIDAS</v>
          </cell>
          <cell r="W23" t="str">
            <v>3.4 COMUNIDADES AUTÓNOMAS TRANSFERIDAS</v>
          </cell>
          <cell r="X23" t="str">
            <v>3.4.1  COMUNIDAD AUTÓNOMA DE ANDALUCIA</v>
          </cell>
          <cell r="Y23" t="str">
            <v xml:space="preserve">              Consejería de Salud</v>
          </cell>
        </row>
        <row r="24">
          <cell r="R24">
            <v>22</v>
          </cell>
          <cell r="S24" t="str">
            <v>*</v>
          </cell>
          <cell r="T24" t="str">
            <v>ANDALUCIA</v>
          </cell>
          <cell r="U24" t="str">
            <v>EPES</v>
          </cell>
          <cell r="V24" t="str">
            <v>2.4 COMUNIDADES AUTÓNOMAS TRANSFERIDAS</v>
          </cell>
          <cell r="W24" t="str">
            <v>3.4 COMUNIDADES AUTÓNOMAS TRANSFERIDAS</v>
          </cell>
          <cell r="X24" t="str">
            <v>3.4.1  COMUNIDAD AUTÓNOMA DE ANDALUCIA</v>
          </cell>
          <cell r="Y24" t="str">
            <v xml:space="preserve">              E. P. Emergencias Sanitarias, S.A. </v>
          </cell>
        </row>
        <row r="25">
          <cell r="R25">
            <v>23</v>
          </cell>
          <cell r="S25" t="str">
            <v>*</v>
          </cell>
          <cell r="T25" t="str">
            <v>ANDALUCIA</v>
          </cell>
          <cell r="U25" t="str">
            <v>EPHCS</v>
          </cell>
          <cell r="V25" t="str">
            <v>2.4 COMUNIDADES AUTÓNOMAS TRANSFERIDAS</v>
          </cell>
          <cell r="W25" t="str">
            <v>3.4 COMUNIDADES AUTÓNOMAS TRANSFERIDAS</v>
          </cell>
          <cell r="X25" t="str">
            <v>3.4.1  COMUNIDAD AUTÓNOMA DE ANDALUCIA</v>
          </cell>
          <cell r="Y25" t="str">
            <v xml:space="preserve">              E. P. Hospital de la Costa del Sol</v>
          </cell>
        </row>
        <row r="26">
          <cell r="R26">
            <v>24</v>
          </cell>
          <cell r="S26" t="str">
            <v>*</v>
          </cell>
          <cell r="T26" t="str">
            <v>ANDALUCIA</v>
          </cell>
          <cell r="U26" t="str">
            <v xml:space="preserve">EASP </v>
          </cell>
          <cell r="V26" t="str">
            <v>2.4 COMUNIDADES AUTÓNOMAS TRANSFERIDAS</v>
          </cell>
          <cell r="W26" t="str">
            <v>3.4 COMUNIDADES AUTÓNOMAS TRANSFERIDAS</v>
          </cell>
          <cell r="X26" t="str">
            <v>3.4.1  COMUNIDAD AUTÓNOMA DE ANDALUCIA</v>
          </cell>
          <cell r="Y26" t="str">
            <v xml:space="preserve">              Escuela Andaluza de Salud Pública, S.A.</v>
          </cell>
        </row>
        <row r="27">
          <cell r="R27">
            <v>25</v>
          </cell>
          <cell r="S27" t="str">
            <v>*</v>
          </cell>
          <cell r="T27" t="str">
            <v>ANDALUCIA</v>
          </cell>
          <cell r="U27" t="str">
            <v>SAS</v>
          </cell>
          <cell r="V27" t="str">
            <v>2.4 COMUNIDADES AUTÓNOMAS TRANSFERIDAS</v>
          </cell>
          <cell r="W27" t="str">
            <v>3.4 COMUNIDADES AUTÓNOMAS TRANSFERIDAS</v>
          </cell>
          <cell r="X27" t="str">
            <v>3.4.1  COMUNIDAD AUTÓNOMA DE ANDALUCIA</v>
          </cell>
          <cell r="Y27" t="str">
            <v xml:space="preserve">              Servicio Andaluz de Salud</v>
          </cell>
        </row>
        <row r="28">
          <cell r="R28">
            <v>26</v>
          </cell>
          <cell r="S28" t="str">
            <v>*</v>
          </cell>
          <cell r="T28" t="str">
            <v>ANDALUCIA</v>
          </cell>
          <cell r="U28" t="str">
            <v>PONI</v>
          </cell>
          <cell r="V28" t="str">
            <v>2.4 COMUNIDADES AUTÓNOMAS TRANSFERIDAS</v>
          </cell>
          <cell r="W28" t="str">
            <v>3.4 COMUNIDADES AUTÓNOMAS TRANSFERIDAS</v>
          </cell>
          <cell r="X28" t="str">
            <v>3.4.1  COMUNIDAD AUTÓNOMA DE ANDALUCIA</v>
          </cell>
          <cell r="Y28" t="str">
            <v xml:space="preserve">              E. P. Hospital de Poniente - Almería</v>
          </cell>
        </row>
        <row r="29">
          <cell r="R29">
            <v>27</v>
          </cell>
          <cell r="S29" t="str">
            <v>*</v>
          </cell>
          <cell r="T29" t="str">
            <v>ANDALUCIA</v>
          </cell>
          <cell r="U29" t="str">
            <v>EPHAG</v>
          </cell>
          <cell r="V29" t="str">
            <v>2.4 COMUNIDADES AUTÓNOMAS TRANSFERIDAS</v>
          </cell>
          <cell r="W29" t="str">
            <v>3.4 COMUNIDADES AUTÓNOMAS TRANSFERIDAS</v>
          </cell>
          <cell r="X29" t="str">
            <v>3.4.1  COMUNIDAD AUTÓNOMA DE ANDALUCIA</v>
          </cell>
          <cell r="Y29" t="str">
            <v xml:space="preserve">              E. P. Hospital del Alto Guadalquivir </v>
          </cell>
        </row>
        <row r="30">
          <cell r="R30">
            <v>28</v>
          </cell>
          <cell r="S30" t="str">
            <v>*</v>
          </cell>
          <cell r="T30" t="str">
            <v>ANDALUCIA</v>
          </cell>
          <cell r="U30" t="str">
            <v>A.SOCIALES</v>
          </cell>
          <cell r="V30" t="str">
            <v>2.4 COMUNIDADES AUTÓNOMAS TRANSFERIDAS</v>
          </cell>
          <cell r="W30" t="str">
            <v>3.4 COMUNIDADES AUTÓNOMAS TRANSFERIDAS</v>
          </cell>
          <cell r="X30" t="str">
            <v>3.4.1  COMUNIDAD AUTÓNOMA DE ANDALUCIA</v>
          </cell>
          <cell r="Y30" t="str">
            <v xml:space="preserve">              C.ASUNTOS SOCIALES.-Plan s/Drogodependencias. </v>
          </cell>
        </row>
        <row r="31">
          <cell r="R31">
            <v>29</v>
          </cell>
          <cell r="S31" t="str">
            <v>*</v>
          </cell>
          <cell r="T31" t="str">
            <v>ARAGON</v>
          </cell>
          <cell r="U31" t="str">
            <v>*</v>
          </cell>
          <cell r="V31" t="str">
            <v>2.4 COMUNIDADES AUTÓNOMAS TRANSFERIDAS</v>
          </cell>
          <cell r="W31" t="str">
            <v>3.4 COMUNIDADES AUTÓNOMAS TRANSFERIDAS</v>
          </cell>
          <cell r="X31" t="str">
            <v>3.5.1  COMUNIDAD AUTÓNOMA DE ARAGÓN</v>
          </cell>
          <cell r="Y31" t="str">
            <v xml:space="preserve">      COMUNIDAD AUTÓNOMA DE ARAGÓN</v>
          </cell>
        </row>
        <row r="32">
          <cell r="I32" t="str">
            <v>AÑO</v>
          </cell>
          <cell r="J32" t="str">
            <v>GRUPO</v>
          </cell>
          <cell r="K32" t="str">
            <v>SECTOR</v>
          </cell>
          <cell r="L32" t="str">
            <v>AGGTO</v>
          </cell>
          <cell r="M32" t="str">
            <v>CLASF</v>
          </cell>
          <cell r="N32" t="str">
            <v>CLASE</v>
          </cell>
          <cell r="O32" t="str">
            <v>TRIN</v>
          </cell>
          <cell r="R32">
            <v>30</v>
          </cell>
          <cell r="S32" t="str">
            <v>*</v>
          </cell>
          <cell r="T32" t="str">
            <v>ARAGON</v>
          </cell>
          <cell r="U32" t="str">
            <v>CSCA</v>
          </cell>
          <cell r="V32" t="str">
            <v>2.4 COMUNIDADES AUTÓNOMAS TRANSFERIDAS</v>
          </cell>
          <cell r="W32" t="str">
            <v>3.4 COMUNIDADES AUTÓNOMAS TRANSFERIDAS</v>
          </cell>
          <cell r="X32" t="str">
            <v>3.5.1  COMUNIDAD AUTÓNOMA DE ARAGÓN</v>
          </cell>
          <cell r="Y32" t="str">
            <v xml:space="preserve">             Consejería de Sanidad, Consumo y Bienestar Social </v>
          </cell>
        </row>
        <row r="33">
          <cell r="I33">
            <v>2003</v>
          </cell>
          <cell r="J33" t="str">
            <v>*</v>
          </cell>
          <cell r="K33" t="str">
            <v>CANTABRIA</v>
          </cell>
          <cell r="L33" t="str">
            <v>*</v>
          </cell>
          <cell r="M33">
            <v>1.1000000000000001</v>
          </cell>
          <cell r="N33" t="str">
            <v>A</v>
          </cell>
          <cell r="R33">
            <v>31</v>
          </cell>
          <cell r="S33" t="str">
            <v>*</v>
          </cell>
          <cell r="T33" t="str">
            <v>ARAGON</v>
          </cell>
          <cell r="U33" t="str">
            <v>SARAGSALUD</v>
          </cell>
          <cell r="V33" t="str">
            <v>2.4 COMUNIDADES AUTÓNOMAS TRANSFERIDAS</v>
          </cell>
          <cell r="W33" t="str">
            <v>3.4 COMUNIDADES AUTÓNOMAS TRANSFERIDAS</v>
          </cell>
          <cell r="X33" t="str">
            <v>3.5.1  COMUNIDAD AUTÓNOMA DE ARAGÓN</v>
          </cell>
          <cell r="Y33" t="str">
            <v xml:space="preserve">             Servicio Aragonés de la Salud</v>
          </cell>
        </row>
        <row r="34">
          <cell r="R34">
            <v>32</v>
          </cell>
          <cell r="S34" t="str">
            <v>*</v>
          </cell>
          <cell r="T34" t="str">
            <v>ARAGON</v>
          </cell>
          <cell r="U34" t="str">
            <v>IACCS</v>
          </cell>
          <cell r="V34" t="str">
            <v>2.4 COMUNIDADES AUTÓNOMAS TRANSFERIDAS</v>
          </cell>
          <cell r="W34" t="str">
            <v>3.4 COMUNIDADES AUTÓNOMAS TRANSFERIDAS</v>
          </cell>
          <cell r="X34" t="str">
            <v>3.5.1  COMUNIDAD AUTÓNOMA DE ARAGÓN</v>
          </cell>
          <cell r="Y34" t="str">
            <v xml:space="preserve">             Instituto Aragonés de Ciencias de la Salud</v>
          </cell>
        </row>
        <row r="35">
          <cell r="I35" t="str">
            <v>AÑO</v>
          </cell>
          <cell r="J35" t="str">
            <v>GRUPO</v>
          </cell>
          <cell r="K35" t="str">
            <v>SECTOR</v>
          </cell>
          <cell r="L35" t="str">
            <v>AGGTO</v>
          </cell>
          <cell r="M35" t="str">
            <v>CLASF</v>
          </cell>
          <cell r="N35" t="str">
            <v>CLASE</v>
          </cell>
          <cell r="O35" t="str">
            <v>TRIN</v>
          </cell>
          <cell r="R35">
            <v>33</v>
          </cell>
          <cell r="S35" t="str">
            <v>*</v>
          </cell>
          <cell r="T35" t="str">
            <v>ARAGON</v>
          </cell>
          <cell r="U35" t="str">
            <v>BSTARAGON</v>
          </cell>
          <cell r="V35" t="str">
            <v>2.4 COMUNIDADES AUTÓNOMAS TRANSFERIDAS</v>
          </cell>
          <cell r="W35" t="str">
            <v>3.4 COMUNIDADES AUTÓNOMAS TRANSFERIDAS</v>
          </cell>
          <cell r="X35" t="str">
            <v>3.5.1  COMUNIDAD AUTÓNOMA DE ARAGÓN</v>
          </cell>
          <cell r="Y35" t="str">
            <v xml:space="preserve">             Banco de Sangre y de Tejidos</v>
          </cell>
        </row>
        <row r="36">
          <cell r="I36">
            <v>2003</v>
          </cell>
          <cell r="J36" t="str">
            <v>*</v>
          </cell>
          <cell r="K36" t="str">
            <v>CANTABRIA</v>
          </cell>
          <cell r="L36" t="str">
            <v>*</v>
          </cell>
          <cell r="M36">
            <v>1.1000000000000001</v>
          </cell>
          <cell r="N36" t="str">
            <v>B</v>
          </cell>
          <cell r="R36">
            <v>34</v>
          </cell>
          <cell r="S36" t="str">
            <v>*</v>
          </cell>
          <cell r="T36" t="str">
            <v>ARAGON</v>
          </cell>
          <cell r="U36" t="str">
            <v>INGESA</v>
          </cell>
          <cell r="V36" t="str">
            <v>2.4 COMUNIDADES AUTÓNOMAS TRANSFERIDAS</v>
          </cell>
          <cell r="W36" t="str">
            <v>3.4 COMUNIDADES AUTÓNOMAS TRANSFERIDAS</v>
          </cell>
          <cell r="X36" t="str">
            <v>3.5.1  COMUNIDAD AUTÓNOMA DE ARAGÓN</v>
          </cell>
          <cell r="Y36" t="str">
            <v xml:space="preserve">             Ingesa.Período transitorio</v>
          </cell>
        </row>
        <row r="37">
          <cell r="R37">
            <v>35</v>
          </cell>
          <cell r="S37" t="str">
            <v>*</v>
          </cell>
          <cell r="T37" t="str">
            <v>ASTURIAS</v>
          </cell>
          <cell r="U37" t="str">
            <v>*</v>
          </cell>
          <cell r="V37" t="str">
            <v>2.4 COMUNIDADES AUTÓNOMAS TRANSFERIDAS</v>
          </cell>
          <cell r="W37" t="str">
            <v>3.4 COMUNIDADES AUTÓNOMAS TRANSFERIDAS</v>
          </cell>
          <cell r="X37" t="str">
            <v>3.5.2  PRINCIPADO DE ASTURIAS</v>
          </cell>
          <cell r="Y37" t="str">
            <v xml:space="preserve">      PRINCIPADO DE ASTURIAS</v>
          </cell>
        </row>
        <row r="38">
          <cell r="R38">
            <v>36</v>
          </cell>
          <cell r="S38" t="str">
            <v>*</v>
          </cell>
          <cell r="T38" t="str">
            <v>ASTURIAS</v>
          </cell>
          <cell r="U38" t="str">
            <v>CSSSA</v>
          </cell>
          <cell r="V38" t="str">
            <v>2.4 COMUNIDADES AUTÓNOMAS TRANSFERIDAS</v>
          </cell>
          <cell r="W38" t="str">
            <v>3.4 COMUNIDADES AUTÓNOMAS TRANSFERIDAS</v>
          </cell>
          <cell r="X38" t="str">
            <v>3.5.2  PRINCIPADO DE ASTURIAS</v>
          </cell>
          <cell r="Y38" t="str">
            <v xml:space="preserve">              Consejería de Sanidad y Servicios Sociales</v>
          </cell>
        </row>
        <row r="39">
          <cell r="R39">
            <v>37</v>
          </cell>
          <cell r="S39" t="str">
            <v>*</v>
          </cell>
          <cell r="T39" t="str">
            <v>ASTURIAS</v>
          </cell>
          <cell r="U39" t="str">
            <v>SESPA</v>
          </cell>
          <cell r="V39" t="str">
            <v>2.4 COMUNIDADES AUTÓNOMAS TRANSFERIDAS</v>
          </cell>
          <cell r="W39" t="str">
            <v>3.4 COMUNIDADES AUTÓNOMAS TRANSFERIDAS</v>
          </cell>
          <cell r="X39" t="str">
            <v>3.5.2  PRINCIPADO DE ASTURIAS</v>
          </cell>
          <cell r="Y39" t="str">
            <v xml:space="preserve">              Servicio de Salud del Principado de Asturias</v>
          </cell>
        </row>
        <row r="40">
          <cell r="I40" t="str">
            <v>AÑO</v>
          </cell>
          <cell r="J40" t="str">
            <v>GRUPO</v>
          </cell>
          <cell r="K40" t="str">
            <v>SECTOR</v>
          </cell>
          <cell r="L40" t="str">
            <v>AGGTO</v>
          </cell>
          <cell r="M40" t="str">
            <v>CLASF</v>
          </cell>
          <cell r="N40" t="str">
            <v>CLASE</v>
          </cell>
          <cell r="O40" t="str">
            <v>TRIN</v>
          </cell>
          <cell r="R40">
            <v>38</v>
          </cell>
          <cell r="S40" t="str">
            <v>*</v>
          </cell>
          <cell r="T40" t="str">
            <v>BALEARES</v>
          </cell>
          <cell r="U40" t="str">
            <v>*</v>
          </cell>
          <cell r="V40" t="str">
            <v>2.4 COMUNIDADES AUTÓNOMAS TRANSFERIDAS</v>
          </cell>
          <cell r="W40" t="str">
            <v>3.4 COMUNIDADES AUTÓNOMAS TRANSFERIDAS</v>
          </cell>
          <cell r="X40" t="str">
            <v>3.5.3  COMUNIDAD AUTÓNOMA DE BALEARES</v>
          </cell>
          <cell r="Y40" t="str">
            <v xml:space="preserve">      COMUNIDAD AUTÓNOMA DE BALEARES</v>
          </cell>
        </row>
        <row r="41">
          <cell r="I41">
            <v>2003</v>
          </cell>
          <cell r="J41" t="str">
            <v>*</v>
          </cell>
          <cell r="K41" t="str">
            <v>CANTABRIA</v>
          </cell>
          <cell r="L41" t="str">
            <v>*</v>
          </cell>
          <cell r="M41">
            <v>1.1000000000000001</v>
          </cell>
          <cell r="N41" t="str">
            <v>C</v>
          </cell>
          <cell r="R41">
            <v>39</v>
          </cell>
          <cell r="S41" t="str">
            <v>*</v>
          </cell>
          <cell r="T41" t="str">
            <v>BALEARES</v>
          </cell>
          <cell r="U41" t="str">
            <v>CSSSB</v>
          </cell>
          <cell r="V41" t="str">
            <v>2.4 COMUNIDADES AUTÓNOMAS TRANSFERIDAS</v>
          </cell>
          <cell r="W41" t="str">
            <v>3.4 COMUNIDADES AUTÓNOMAS TRANSFERIDAS</v>
          </cell>
          <cell r="X41" t="str">
            <v>3.5.3  COMUNIDAD AUTÓNOMA DE BALEARES</v>
          </cell>
          <cell r="Y41" t="str">
            <v xml:space="preserve">              Consejería de Sanidad y Servicios Sociales</v>
          </cell>
        </row>
        <row r="42">
          <cell r="R42">
            <v>40</v>
          </cell>
          <cell r="S42" t="str">
            <v>*</v>
          </cell>
          <cell r="T42" t="str">
            <v>BALEARES</v>
          </cell>
          <cell r="U42" t="str">
            <v xml:space="preserve">SBS </v>
          </cell>
          <cell r="V42" t="str">
            <v>2.4 COMUNIDADES AUTÓNOMAS TRANSFERIDAS</v>
          </cell>
          <cell r="W42" t="str">
            <v>3.4 COMUNIDADES AUTÓNOMAS TRANSFERIDAS</v>
          </cell>
          <cell r="X42" t="str">
            <v>3.5.3  COMUNIDAD AUTÓNOMA DE BALEARES</v>
          </cell>
          <cell r="Y42" t="str">
            <v xml:space="preserve">              Servicio Balear de la Salud</v>
          </cell>
        </row>
        <row r="43">
          <cell r="I43" t="str">
            <v>AÑO</v>
          </cell>
          <cell r="J43" t="str">
            <v>GRUPO</v>
          </cell>
          <cell r="K43" t="str">
            <v>SECTOR</v>
          </cell>
          <cell r="L43" t="str">
            <v>AGGTO</v>
          </cell>
          <cell r="M43" t="str">
            <v>CLASF</v>
          </cell>
          <cell r="N43" t="str">
            <v>CLASE</v>
          </cell>
          <cell r="O43" t="str">
            <v>TRIN</v>
          </cell>
          <cell r="R43">
            <v>41</v>
          </cell>
          <cell r="S43" t="str">
            <v>*</v>
          </cell>
          <cell r="T43" t="str">
            <v>BALEARES</v>
          </cell>
          <cell r="U43" t="str">
            <v>GESMA</v>
          </cell>
          <cell r="V43" t="str">
            <v>2.4 COMUNIDADES AUTÓNOMAS TRANSFERIDAS</v>
          </cell>
          <cell r="W43" t="str">
            <v>3.4 COMUNIDADES AUTÓNOMAS TRANSFERIDAS</v>
          </cell>
          <cell r="X43" t="str">
            <v>3.5.3  COMUNIDAD AUTÓNOMA DE BALEARES</v>
          </cell>
          <cell r="Y43" t="str">
            <v xml:space="preserve">              Emp. Pública Gestión Sanitaria de Mallorca</v>
          </cell>
        </row>
        <row r="44">
          <cell r="I44">
            <v>2004</v>
          </cell>
          <cell r="J44" t="str">
            <v>*</v>
          </cell>
          <cell r="K44" t="str">
            <v>CANTABRIA</v>
          </cell>
          <cell r="L44" t="str">
            <v>*</v>
          </cell>
          <cell r="M44">
            <v>1.1000000000000001</v>
          </cell>
          <cell r="N44" t="str">
            <v>A</v>
          </cell>
          <cell r="R44">
            <v>42</v>
          </cell>
          <cell r="S44" t="str">
            <v>*</v>
          </cell>
          <cell r="T44" t="str">
            <v>BALEARES</v>
          </cell>
          <cell r="U44" t="str">
            <v>IBSALUT</v>
          </cell>
          <cell r="V44" t="str">
            <v>2.4 COMUNIDADES AUTÓNOMAS TRANSFERIDAS</v>
          </cell>
          <cell r="W44" t="str">
            <v>3.4 COMUNIDADES AUTÓNOMAS TRANSFERIDAS</v>
          </cell>
          <cell r="X44" t="str">
            <v>3.5.3  COMUNIDAD AUTÓNOMA DE BALEARES</v>
          </cell>
          <cell r="Y44" t="str">
            <v xml:space="preserve">              Servei de Salut de les Illes Balears</v>
          </cell>
        </row>
        <row r="45">
          <cell r="R45">
            <v>43</v>
          </cell>
          <cell r="S45" t="str">
            <v>*</v>
          </cell>
          <cell r="T45" t="str">
            <v>BALEARES</v>
          </cell>
          <cell r="U45" t="str">
            <v>MANA</v>
          </cell>
          <cell r="V45" t="str">
            <v>2.4 COMUNIDADES AUTÓNOMAS TRANSFERIDAS</v>
          </cell>
          <cell r="W45" t="str">
            <v>3.4 COMUNIDADES AUTÓNOMAS TRANSFERIDAS</v>
          </cell>
          <cell r="X45" t="str">
            <v>3.5.3  COMUNIDAD AUTÓNOMA DE BALEARES</v>
          </cell>
          <cell r="Y45" t="str">
            <v xml:space="preserve">              Fundación Hospital de Manacor</v>
          </cell>
        </row>
        <row r="46">
          <cell r="R46">
            <v>44</v>
          </cell>
          <cell r="S46" t="str">
            <v>*</v>
          </cell>
          <cell r="T46" t="str">
            <v>BALEARES</v>
          </cell>
          <cell r="U46" t="str">
            <v>LLATZER</v>
          </cell>
          <cell r="V46" t="str">
            <v>2.4 COMUNIDADES AUTÓNOMAS TRANSFERIDAS</v>
          </cell>
          <cell r="W46" t="str">
            <v>3.4 COMUNIDADES AUTÓNOMAS TRANSFERIDAS</v>
          </cell>
          <cell r="X46" t="str">
            <v>3.5.3  COMUNIDAD AUTÓNOMA DE BALEARES</v>
          </cell>
          <cell r="Y46" t="str">
            <v xml:space="preserve">              Fundación Hospital Son Llatzer</v>
          </cell>
        </row>
        <row r="47">
          <cell r="I47" t="str">
            <v>AÑO</v>
          </cell>
          <cell r="J47" t="str">
            <v>GRUPO</v>
          </cell>
          <cell r="K47" t="str">
            <v>SECTOR</v>
          </cell>
          <cell r="L47" t="str">
            <v>AGGTO</v>
          </cell>
          <cell r="M47" t="str">
            <v>CLASF</v>
          </cell>
          <cell r="N47" t="str">
            <v>CLASE</v>
          </cell>
          <cell r="O47" t="str">
            <v>TRIN</v>
          </cell>
          <cell r="R47">
            <v>45</v>
          </cell>
          <cell r="S47" t="str">
            <v>*</v>
          </cell>
          <cell r="T47" t="str">
            <v>BALEARES</v>
          </cell>
          <cell r="U47" t="str">
            <v>INCA</v>
          </cell>
          <cell r="V47" t="str">
            <v>2.4 COMUNIDADES AUTÓNOMAS TRANSFERIDAS</v>
          </cell>
          <cell r="W47" t="str">
            <v>3.4 COMUNIDADES AUTÓNOMAS TRANSFERIDAS</v>
          </cell>
          <cell r="X47" t="str">
            <v>3.5.3  COMUNIDAD AUTÓNOMA DE BALEARES</v>
          </cell>
          <cell r="Y47" t="str">
            <v xml:space="preserve">              F.P. Hospital Comarcal de Inca.</v>
          </cell>
        </row>
        <row r="48">
          <cell r="I48">
            <v>2004</v>
          </cell>
          <cell r="J48" t="str">
            <v>*</v>
          </cell>
          <cell r="K48" t="str">
            <v>CANTABRIA</v>
          </cell>
          <cell r="L48" t="str">
            <v>*</v>
          </cell>
          <cell r="M48">
            <v>1.1000000000000001</v>
          </cell>
          <cell r="N48" t="str">
            <v>B</v>
          </cell>
          <cell r="R48">
            <v>46</v>
          </cell>
          <cell r="S48" t="str">
            <v>*</v>
          </cell>
          <cell r="T48" t="str">
            <v>CANARIAS</v>
          </cell>
          <cell r="U48" t="str">
            <v>*</v>
          </cell>
          <cell r="V48" t="str">
            <v>2.4 COMUNIDADES AUTÓNOMAS TRANSFERIDAS</v>
          </cell>
          <cell r="W48" t="str">
            <v>3.4 COMUNIDADES AUTÓNOMAS TRANSFERIDAS</v>
          </cell>
          <cell r="X48" t="str">
            <v>3.4.2  COMUNIDAD AUTÓNOMA DE CANARIAS</v>
          </cell>
          <cell r="Y48" t="str">
            <v xml:space="preserve">      COMUNIDAD AUTÓNOMA DE CANARIAS</v>
          </cell>
        </row>
        <row r="49">
          <cell r="R49">
            <v>47</v>
          </cell>
          <cell r="S49" t="str">
            <v>*</v>
          </cell>
          <cell r="T49" t="str">
            <v>CANARIAS</v>
          </cell>
          <cell r="U49" t="str">
            <v>CSC</v>
          </cell>
          <cell r="V49" t="str">
            <v>2.4 COMUNIDADES AUTÓNOMAS TRANSFERIDAS</v>
          </cell>
          <cell r="W49" t="str">
            <v>3.4 COMUNIDADES AUTÓNOMAS TRANSFERIDAS</v>
          </cell>
          <cell r="X49" t="str">
            <v>3.4.2  COMUNIDAD AUTÓNOMA DE CANARIAS</v>
          </cell>
          <cell r="Y49" t="str">
            <v xml:space="preserve">              Consejería de Sanidad y Asuntos Sociales</v>
          </cell>
        </row>
        <row r="50">
          <cell r="I50" t="str">
            <v>AÑO</v>
          </cell>
          <cell r="J50" t="str">
            <v>GRUPO</v>
          </cell>
          <cell r="K50" t="str">
            <v>SECTOR</v>
          </cell>
          <cell r="L50" t="str">
            <v>AGGTO</v>
          </cell>
          <cell r="M50" t="str">
            <v>CLASF</v>
          </cell>
          <cell r="N50" t="str">
            <v>CLASE</v>
          </cell>
          <cell r="O50" t="str">
            <v>TRIN</v>
          </cell>
          <cell r="R50">
            <v>48</v>
          </cell>
          <cell r="S50" t="str">
            <v>*</v>
          </cell>
          <cell r="T50" t="str">
            <v>CANARIAS</v>
          </cell>
          <cell r="U50" t="str">
            <v>ICHH</v>
          </cell>
          <cell r="V50" t="str">
            <v>2.4 COMUNIDADES AUTÓNOMAS TRANSFERIDAS</v>
          </cell>
          <cell r="W50" t="str">
            <v>3.4 COMUNIDADES AUTÓNOMAS TRANSFERIDAS</v>
          </cell>
          <cell r="X50" t="str">
            <v>3.4.2  COMUNIDAD AUTÓNOMA DE CANARIAS</v>
          </cell>
          <cell r="Y50" t="str">
            <v xml:space="preserve">              Instituto Canario de Hemodonación y Hemoterapia</v>
          </cell>
        </row>
        <row r="51">
          <cell r="I51">
            <v>2004</v>
          </cell>
          <cell r="J51" t="str">
            <v>*</v>
          </cell>
          <cell r="K51" t="str">
            <v>CANTABRIA</v>
          </cell>
          <cell r="L51" t="str">
            <v>*</v>
          </cell>
          <cell r="M51">
            <v>1.1000000000000001</v>
          </cell>
          <cell r="N51" t="str">
            <v>C</v>
          </cell>
          <cell r="R51">
            <v>49</v>
          </cell>
          <cell r="S51" t="str">
            <v>*</v>
          </cell>
          <cell r="T51" t="str">
            <v>CANARIAS</v>
          </cell>
          <cell r="U51" t="str">
            <v>SCNS</v>
          </cell>
          <cell r="V51" t="str">
            <v>2.4 COMUNIDADES AUTÓNOMAS TRANSFERIDAS</v>
          </cell>
          <cell r="W51" t="str">
            <v>3.4 COMUNIDADES AUTÓNOMAS TRANSFERIDAS</v>
          </cell>
          <cell r="X51" t="str">
            <v>3.4.2  COMUNIDAD AUTÓNOMA DE CANARIAS</v>
          </cell>
          <cell r="Y51" t="str">
            <v xml:space="preserve">              Servicio Canario de Salud</v>
          </cell>
        </row>
        <row r="52">
          <cell r="R52">
            <v>50</v>
          </cell>
          <cell r="S52" t="str">
            <v>*</v>
          </cell>
          <cell r="T52" t="str">
            <v>CANARIAS</v>
          </cell>
          <cell r="U52" t="str">
            <v>GESCAN</v>
          </cell>
          <cell r="V52" t="str">
            <v>2.4 COMUNIDADES AUTÓNOMAS TRANSFERIDAS</v>
          </cell>
          <cell r="W52" t="str">
            <v>3.4 COMUNIDADES AUTÓNOMAS TRANSFERIDAS</v>
          </cell>
          <cell r="X52" t="str">
            <v>3.4.2  COMUNIDAD AUTÓNOMA DE CANARIAS</v>
          </cell>
          <cell r="Y52" t="str">
            <v xml:space="preserve">              Gestión Sanitaria de Canarias</v>
          </cell>
        </row>
        <row r="53">
          <cell r="I53" t="str">
            <v>AÑO</v>
          </cell>
          <cell r="J53" t="str">
            <v>GRUPO</v>
          </cell>
          <cell r="K53" t="str">
            <v>SECTOR</v>
          </cell>
          <cell r="L53" t="str">
            <v>AGGTO</v>
          </cell>
          <cell r="M53" t="str">
            <v>CLASF</v>
          </cell>
          <cell r="N53" t="str">
            <v>CLASE</v>
          </cell>
          <cell r="O53" t="str">
            <v>TRIN</v>
          </cell>
          <cell r="R53">
            <v>51</v>
          </cell>
          <cell r="S53" t="str">
            <v>*</v>
          </cell>
          <cell r="T53" t="str">
            <v>CANARIAS</v>
          </cell>
          <cell r="U53" t="str">
            <v>CST</v>
          </cell>
          <cell r="V53" t="str">
            <v>2.4 COMUNIDADES AUTÓNOMAS TRANSFERIDAS</v>
          </cell>
          <cell r="W53" t="str">
            <v>3.4 COMUNIDADES AUTÓNOMAS TRANSFERIDAS</v>
          </cell>
          <cell r="X53" t="str">
            <v>3.4.2  COMUNIDAD AUTÓNOMA DE CANARIAS</v>
          </cell>
          <cell r="Y53" t="str">
            <v xml:space="preserve">              Consorcio Sanitario de Tenerife</v>
          </cell>
        </row>
        <row r="54">
          <cell r="I54">
            <v>2005</v>
          </cell>
          <cell r="J54" t="str">
            <v>*</v>
          </cell>
          <cell r="K54" t="str">
            <v>CANTABRIA</v>
          </cell>
          <cell r="L54" t="str">
            <v>*</v>
          </cell>
          <cell r="M54">
            <v>1.1000000000000001</v>
          </cell>
          <cell r="N54" t="str">
            <v>A</v>
          </cell>
          <cell r="R54">
            <v>52</v>
          </cell>
          <cell r="S54" t="str">
            <v>*</v>
          </cell>
          <cell r="T54" t="str">
            <v>CANTABRIA</v>
          </cell>
          <cell r="U54" t="str">
            <v>*</v>
          </cell>
          <cell r="V54" t="str">
            <v>2.4 COMUNIDADES AUTÓNOMAS TRANSFERIDAS</v>
          </cell>
          <cell r="W54" t="str">
            <v>3.4 COMUNIDADES AUTÓNOMAS TRANSFERIDAS</v>
          </cell>
          <cell r="X54" t="str">
            <v>3.5.4  COMUNIDAD AUTÓNOMA DE CANTABRIA</v>
          </cell>
          <cell r="Y54" t="str">
            <v xml:space="preserve">      COMUNIDAD AUTÓNOMA DE CANTABRIA</v>
          </cell>
        </row>
        <row r="55">
          <cell r="R55">
            <v>53</v>
          </cell>
          <cell r="S55" t="str">
            <v>*</v>
          </cell>
          <cell r="T55" t="str">
            <v>CANTABRIA</v>
          </cell>
          <cell r="U55" t="str">
            <v>CSCB</v>
          </cell>
          <cell r="V55" t="str">
            <v>2.4 COMUNIDADES AUTÓNOMAS TRANSFERIDAS</v>
          </cell>
          <cell r="W55" t="str">
            <v>3.4 COMUNIDADES AUTÓNOMAS TRANSFERIDAS</v>
          </cell>
          <cell r="X55" t="str">
            <v>3.5.4  COMUNIDAD AUTÓNOMA DE CANTABRIA</v>
          </cell>
          <cell r="Y55" t="str">
            <v xml:space="preserve">              Consejería de Sanidad, Consumo y Bienestar Social</v>
          </cell>
        </row>
        <row r="56">
          <cell r="I56" t="str">
            <v>AÑO</v>
          </cell>
          <cell r="J56" t="str">
            <v>GRUPO</v>
          </cell>
          <cell r="K56" t="str">
            <v>SECTOR</v>
          </cell>
          <cell r="L56" t="str">
            <v>AGGTO</v>
          </cell>
          <cell r="M56" t="str">
            <v>CLASF</v>
          </cell>
          <cell r="N56" t="str">
            <v>CLASE</v>
          </cell>
          <cell r="O56" t="str">
            <v>TRIN</v>
          </cell>
          <cell r="R56">
            <v>54</v>
          </cell>
          <cell r="S56" t="str">
            <v>*</v>
          </cell>
          <cell r="T56" t="str">
            <v>CANTABRIA</v>
          </cell>
          <cell r="U56" t="str">
            <v>SERCANT</v>
          </cell>
          <cell r="V56" t="str">
            <v>2.4 COMUNIDADES AUTÓNOMAS TRANSFERIDAS</v>
          </cell>
          <cell r="W56" t="str">
            <v>3.4 COMUNIDADES AUTÓNOMAS TRANSFERIDAS</v>
          </cell>
          <cell r="X56" t="str">
            <v>3.5.4  COMUNIDAD AUTÓNOMA DE CANTABRIA</v>
          </cell>
          <cell r="Y56" t="str">
            <v xml:space="preserve">              Servicio Cántabro de Salud</v>
          </cell>
        </row>
        <row r="57">
          <cell r="I57">
            <v>2005</v>
          </cell>
          <cell r="J57" t="str">
            <v>*</v>
          </cell>
          <cell r="K57" t="str">
            <v>CANTABRIA</v>
          </cell>
          <cell r="L57" t="str">
            <v>*</v>
          </cell>
          <cell r="M57">
            <v>1.1000000000000001</v>
          </cell>
          <cell r="N57" t="str">
            <v>B</v>
          </cell>
          <cell r="R57">
            <v>55</v>
          </cell>
          <cell r="S57" t="str">
            <v>*</v>
          </cell>
          <cell r="T57" t="str">
            <v>CANTABRIA</v>
          </cell>
          <cell r="U57" t="str">
            <v>FPMV</v>
          </cell>
          <cell r="V57" t="str">
            <v>2.4 COMUNIDADES AUTÓNOMAS TRANSFERIDAS</v>
          </cell>
          <cell r="W57" t="str">
            <v>3.4 COMUNIDADES AUTÓNOMAS TRANSFERIDAS</v>
          </cell>
          <cell r="X57" t="str">
            <v>3.5.4  COMUNIDAD AUTÓNOMA DE CANTABRIA</v>
          </cell>
          <cell r="Y57" t="str">
            <v xml:space="preserve">              Fundación Pública Marqués de Valdecilla</v>
          </cell>
        </row>
        <row r="58">
          <cell r="R58">
            <v>56</v>
          </cell>
          <cell r="S58" t="str">
            <v>*</v>
          </cell>
          <cell r="T58" t="str">
            <v>CASTILLA Y LEON</v>
          </cell>
          <cell r="U58" t="str">
            <v>*</v>
          </cell>
          <cell r="V58" t="str">
            <v>2.4 COMUNIDADES AUTÓNOMAS TRANSFERIDAS</v>
          </cell>
          <cell r="W58" t="str">
            <v>3.4 COMUNIDADES AUTÓNOMAS TRANSFERIDAS</v>
          </cell>
          <cell r="X58" t="str">
            <v>3.5.5  COMUNIDAD AUTÓNOMA DE CASTILLA Y LEÓN</v>
          </cell>
          <cell r="Y58" t="str">
            <v xml:space="preserve">      COMUNIDAD AUTÓNOMA DE CASTILLA Y LEÓN</v>
          </cell>
        </row>
        <row r="59">
          <cell r="I59" t="str">
            <v>AÑO</v>
          </cell>
          <cell r="J59" t="str">
            <v>GRUPO</v>
          </cell>
          <cell r="K59" t="str">
            <v>SECTOR</v>
          </cell>
          <cell r="L59" t="str">
            <v>AGGTO</v>
          </cell>
          <cell r="M59" t="str">
            <v>CLASF</v>
          </cell>
          <cell r="N59" t="str">
            <v>CLASE</v>
          </cell>
          <cell r="O59" t="str">
            <v>TRIN</v>
          </cell>
          <cell r="R59">
            <v>57</v>
          </cell>
          <cell r="S59" t="str">
            <v>*</v>
          </cell>
          <cell r="T59" t="str">
            <v>CASTILLA Y LEON</v>
          </cell>
          <cell r="U59" t="str">
            <v>CSBS</v>
          </cell>
          <cell r="V59" t="str">
            <v>2.4 COMUNIDADES AUTÓNOMAS TRANSFERIDAS</v>
          </cell>
          <cell r="W59" t="str">
            <v>3.4 COMUNIDADES AUTÓNOMAS TRANSFERIDAS</v>
          </cell>
          <cell r="X59" t="str">
            <v>3.5.5  COMUNIDAD AUTÓNOMA DE CASTILLA Y LEÓN</v>
          </cell>
          <cell r="Y59" t="str">
            <v xml:space="preserve">              Consejería de Sanidad y Bienestar Social</v>
          </cell>
        </row>
        <row r="60">
          <cell r="I60">
            <v>2005</v>
          </cell>
          <cell r="J60" t="str">
            <v>*</v>
          </cell>
          <cell r="K60" t="str">
            <v>CANTABRIA</v>
          </cell>
          <cell r="L60" t="str">
            <v>*</v>
          </cell>
          <cell r="M60">
            <v>1.1000000000000001</v>
          </cell>
          <cell r="N60" t="str">
            <v>C</v>
          </cell>
          <cell r="R60">
            <v>58</v>
          </cell>
          <cell r="S60" t="str">
            <v>*</v>
          </cell>
          <cell r="T60" t="str">
            <v>CASTILLA Y LEON</v>
          </cell>
          <cell r="U60" t="str">
            <v>SACYL</v>
          </cell>
          <cell r="V60" t="str">
            <v>2.4 COMUNIDADES AUTÓNOMAS TRANSFERIDAS</v>
          </cell>
          <cell r="W60" t="str">
            <v>3.4 COMUNIDADES AUTÓNOMAS TRANSFERIDAS</v>
          </cell>
          <cell r="X60" t="str">
            <v>3.5.5  COMUNIDAD AUTÓNOMA DE CASTILLA Y LEÓN</v>
          </cell>
          <cell r="Y60" t="str">
            <v xml:space="preserve">              Gerencia Regional de Salud de Castilla y León </v>
          </cell>
        </row>
        <row r="61">
          <cell r="R61">
            <v>59</v>
          </cell>
          <cell r="S61" t="str">
            <v>*</v>
          </cell>
          <cell r="T61" t="str">
            <v>CASTILLA Y LEON</v>
          </cell>
          <cell r="U61" t="str">
            <v>CRD</v>
          </cell>
          <cell r="V61" t="str">
            <v>2.4 COMUNIDADES AUTÓNOMAS TRANSFERIDAS</v>
          </cell>
          <cell r="W61" t="str">
            <v>3.4 COMUNIDADES AUTÓNOMAS TRANSFERIDAS</v>
          </cell>
          <cell r="X61" t="str">
            <v>3.5.5  COMUNIDAD AUTÓNOMA DE CASTILLA Y LEÓN</v>
          </cell>
          <cell r="Y61" t="str">
            <v xml:space="preserve">              Comisionado Regional para la Droga </v>
          </cell>
        </row>
        <row r="62">
          <cell r="I62" t="str">
            <v>AÑO</v>
          </cell>
          <cell r="J62" t="str">
            <v>GRUPO</v>
          </cell>
          <cell r="K62" t="str">
            <v>SECTOR</v>
          </cell>
          <cell r="L62" t="str">
            <v>AGGTO</v>
          </cell>
          <cell r="M62" t="str">
            <v>CLASF</v>
          </cell>
          <cell r="N62" t="str">
            <v>CLASE</v>
          </cell>
          <cell r="O62" t="str">
            <v>TRIN</v>
          </cell>
          <cell r="R62">
            <v>60</v>
          </cell>
          <cell r="S62" t="str">
            <v>*</v>
          </cell>
          <cell r="T62" t="str">
            <v>CASTILLA Y LEON</v>
          </cell>
          <cell r="U62" t="str">
            <v>CRGHH</v>
          </cell>
          <cell r="V62" t="str">
            <v>2.4 COMUNIDADES AUTÓNOMAS TRANSFERIDAS</v>
          </cell>
          <cell r="W62" t="str">
            <v>3.4 COMUNIDADES AUTÓNOMAS TRANSFERIDAS</v>
          </cell>
          <cell r="X62" t="str">
            <v>3.5.5  COMUNIDAD AUTÓNOMA DE CASTILLA Y LEÓN</v>
          </cell>
          <cell r="Y62" t="str">
            <v xml:space="preserve">              Centro Regional de Hemoterapia y Hemodonación.</v>
          </cell>
        </row>
        <row r="63">
          <cell r="I63">
            <v>2003</v>
          </cell>
          <cell r="J63" t="str">
            <v>*</v>
          </cell>
          <cell r="K63" t="str">
            <v>CANTABRIA</v>
          </cell>
          <cell r="L63" t="str">
            <v>*</v>
          </cell>
          <cell r="M63">
            <v>1.2</v>
          </cell>
          <cell r="N63" t="str">
            <v>A</v>
          </cell>
          <cell r="R63">
            <v>61</v>
          </cell>
          <cell r="S63" t="str">
            <v>*</v>
          </cell>
          <cell r="T63" t="str">
            <v>CASTILLA-LA MANCHA</v>
          </cell>
          <cell r="U63" t="str">
            <v>*</v>
          </cell>
          <cell r="V63" t="str">
            <v>2.4 COMUNIDADES AUTÓNOMAS TRANSFERIDAS</v>
          </cell>
          <cell r="W63" t="str">
            <v>3.4 COMUNIDADES AUTÓNOMAS TRANSFERIDAS</v>
          </cell>
          <cell r="X63" t="str">
            <v>3.5.6  COMUNIDAD AUTÓNOMA DE CASTILLA-LA MANCHA</v>
          </cell>
          <cell r="Y63" t="str">
            <v xml:space="preserve">      COMUNIDAD AUTÓNOMA DE CASTILLA-LA MANCHA</v>
          </cell>
        </row>
        <row r="64">
          <cell r="R64">
            <v>62</v>
          </cell>
          <cell r="S64" t="str">
            <v>*</v>
          </cell>
          <cell r="T64" t="str">
            <v>CASTILLA-LA MANCHA</v>
          </cell>
          <cell r="U64" t="str">
            <v>CSCM</v>
          </cell>
          <cell r="V64" t="str">
            <v>2.4 COMUNIDADES AUTÓNOMAS TRANSFERIDAS</v>
          </cell>
          <cell r="W64" t="str">
            <v>3.4 COMUNIDADES AUTÓNOMAS TRANSFERIDAS</v>
          </cell>
          <cell r="X64" t="str">
            <v>3.5.6  COMUNIDAD AUTÓNOMA DE CASTILLA-LA MANCHA</v>
          </cell>
          <cell r="Y64" t="str">
            <v xml:space="preserve">             Consejeria de Sanidad</v>
          </cell>
        </row>
        <row r="65">
          <cell r="I65" t="str">
            <v>AÑO</v>
          </cell>
          <cell r="J65" t="str">
            <v>GRUPO</v>
          </cell>
          <cell r="K65" t="str">
            <v>SECTOR</v>
          </cell>
          <cell r="L65" t="str">
            <v>AGGTO</v>
          </cell>
          <cell r="M65" t="str">
            <v>CLASF</v>
          </cell>
          <cell r="N65" t="str">
            <v>CLASE</v>
          </cell>
          <cell r="O65" t="str">
            <v>TRIN</v>
          </cell>
          <cell r="R65">
            <v>63</v>
          </cell>
          <cell r="S65" t="str">
            <v>*</v>
          </cell>
          <cell r="T65" t="str">
            <v>CASTILLA-LA MANCHA</v>
          </cell>
          <cell r="U65" t="str">
            <v>SESCAM</v>
          </cell>
          <cell r="V65" t="str">
            <v>2.4 COMUNIDADES AUTÓNOMAS TRANSFERIDAS</v>
          </cell>
          <cell r="W65" t="str">
            <v>3.4 COMUNIDADES AUTÓNOMAS TRANSFERIDAS</v>
          </cell>
          <cell r="X65" t="str">
            <v>3.5.6  COMUNIDAD AUTÓNOMA DE CASTILLA-LA MANCHA</v>
          </cell>
          <cell r="Y65" t="str">
            <v xml:space="preserve">              Servicio de Salud de Castilla la Mancha</v>
          </cell>
        </row>
        <row r="66">
          <cell r="I66">
            <v>2003</v>
          </cell>
          <cell r="J66" t="str">
            <v>*</v>
          </cell>
          <cell r="K66" t="str">
            <v>CANTABRIA</v>
          </cell>
          <cell r="L66" t="str">
            <v>*</v>
          </cell>
          <cell r="M66">
            <v>1.2</v>
          </cell>
          <cell r="N66" t="str">
            <v>B</v>
          </cell>
          <cell r="R66">
            <v>64</v>
          </cell>
          <cell r="S66" t="str">
            <v>*</v>
          </cell>
          <cell r="T66" t="str">
            <v>CASTILLA-LA MANCHA</v>
          </cell>
          <cell r="U66" t="str">
            <v>INGESA</v>
          </cell>
          <cell r="V66" t="str">
            <v>2.4 COMUNIDADES AUTÓNOMAS TRANSFERIDAS</v>
          </cell>
          <cell r="W66" t="str">
            <v>3.4 COMUNIDADES AUTÓNOMAS TRANSFERIDAS</v>
          </cell>
          <cell r="X66" t="str">
            <v>3.5.6  COMUNIDAD AUTÓNOMA DE CASTILLA-LA MANCHA</v>
          </cell>
          <cell r="Y66" t="str">
            <v xml:space="preserve">             Ingesa.Período transitorio</v>
          </cell>
        </row>
        <row r="67">
          <cell r="I67" t="str">
            <v>AÑO</v>
          </cell>
          <cell r="J67" t="str">
            <v>GRUPO</v>
          </cell>
          <cell r="K67" t="str">
            <v>SECTOR</v>
          </cell>
          <cell r="L67" t="str">
            <v>AGGTO</v>
          </cell>
          <cell r="M67" t="str">
            <v>CLASF</v>
          </cell>
          <cell r="N67" t="str">
            <v>CLASE</v>
          </cell>
          <cell r="O67" t="str">
            <v>TRIN</v>
          </cell>
          <cell r="R67">
            <v>65</v>
          </cell>
          <cell r="S67" t="str">
            <v>*</v>
          </cell>
          <cell r="T67" t="str">
            <v xml:space="preserve">CATALUÑA </v>
          </cell>
          <cell r="U67" t="str">
            <v>*</v>
          </cell>
          <cell r="V67" t="str">
            <v>2.4 COMUNIDADES AUTÓNOMAS TRANSFERIDAS</v>
          </cell>
          <cell r="W67" t="str">
            <v>3.4 COMUNIDADES AUTÓNOMAS TRANSFERIDAS</v>
          </cell>
          <cell r="X67" t="str">
            <v>3.4.3  COMUNIDAD AUTÓNOMA DE CATALUÑA</v>
          </cell>
          <cell r="Y67" t="str">
            <v xml:space="preserve">      COMUNIDAD AUTÓNOMA DE CATALUÑA</v>
          </cell>
        </row>
        <row r="68">
          <cell r="I68">
            <v>2003</v>
          </cell>
          <cell r="J68" t="str">
            <v>*</v>
          </cell>
          <cell r="K68" t="str">
            <v>CANTABRIA</v>
          </cell>
          <cell r="L68" t="str">
            <v>*</v>
          </cell>
          <cell r="M68">
            <v>1.2</v>
          </cell>
          <cell r="N68" t="str">
            <v>C</v>
          </cell>
          <cell r="R68">
            <v>66</v>
          </cell>
          <cell r="S68" t="str">
            <v>*</v>
          </cell>
          <cell r="T68" t="str">
            <v xml:space="preserve">CATALUÑA </v>
          </cell>
          <cell r="U68" t="str">
            <v>DJCAC</v>
          </cell>
          <cell r="V68" t="str">
            <v>2.4 COMUNIDADES AUTÓNOMAS TRANSFERIDAS</v>
          </cell>
          <cell r="W68" t="str">
            <v>3.4 COMUNIDADES AUTÓNOMAS TRANSFERIDAS</v>
          </cell>
          <cell r="X68" t="str">
            <v>3.4.3  COMUNIDAD AUTÓNOMA DE CATALUÑA</v>
          </cell>
          <cell r="Y68" t="str">
            <v xml:space="preserve">              Departamento de Justicia de Cataluña   </v>
          </cell>
        </row>
        <row r="69">
          <cell r="R69">
            <v>67</v>
          </cell>
          <cell r="S69" t="str">
            <v>*</v>
          </cell>
          <cell r="T69" t="str">
            <v xml:space="preserve">CATALUÑA </v>
          </cell>
          <cell r="U69" t="str">
            <v>DSSS</v>
          </cell>
          <cell r="V69" t="str">
            <v>2.4 COMUNIDADES AUTÓNOMAS TRANSFERIDAS</v>
          </cell>
          <cell r="W69" t="str">
            <v>3.4 COMUNIDADES AUTÓNOMAS TRANSFERIDAS</v>
          </cell>
          <cell r="X69" t="str">
            <v>3.4.3  COMUNIDAD AUTÓNOMA DE CATALUÑA</v>
          </cell>
          <cell r="Y69" t="str">
            <v xml:space="preserve">              Departamento de Sanidad y Seguridad Social</v>
          </cell>
        </row>
        <row r="70">
          <cell r="I70" t="str">
            <v>AÑO</v>
          </cell>
          <cell r="J70" t="str">
            <v>GRUPO</v>
          </cell>
          <cell r="K70" t="str">
            <v>SECTOR</v>
          </cell>
          <cell r="L70" t="str">
            <v>AGGTO</v>
          </cell>
          <cell r="M70" t="str">
            <v>CLASF</v>
          </cell>
          <cell r="N70" t="str">
            <v>CLASE</v>
          </cell>
          <cell r="O70" t="str">
            <v>TRIN</v>
          </cell>
          <cell r="R70">
            <v>68</v>
          </cell>
          <cell r="S70" t="str">
            <v>*</v>
          </cell>
          <cell r="T70" t="str">
            <v xml:space="preserve">CATALUÑA </v>
          </cell>
          <cell r="U70" t="str">
            <v xml:space="preserve">EISSA </v>
          </cell>
          <cell r="V70" t="str">
            <v>2.4 COMUNIDADES AUTÓNOMAS TRANSFERIDAS</v>
          </cell>
          <cell r="W70" t="str">
            <v>3.4 COMUNIDADES AUTÓNOMAS TRANSFERIDAS</v>
          </cell>
          <cell r="X70" t="str">
            <v>3.4.3  COMUNIDAD AUTÓNOMA DE CATALUÑA</v>
          </cell>
          <cell r="Y70" t="str">
            <v xml:space="preserve">              Energética de Instalaciones Sanitarias,S.A.</v>
          </cell>
        </row>
        <row r="71">
          <cell r="I71">
            <v>2004</v>
          </cell>
          <cell r="J71" t="str">
            <v>*</v>
          </cell>
          <cell r="K71" t="str">
            <v>CANTABRIA</v>
          </cell>
          <cell r="L71" t="str">
            <v>*</v>
          </cell>
          <cell r="M71">
            <v>1.2</v>
          </cell>
          <cell r="N71" t="str">
            <v>A</v>
          </cell>
          <cell r="R71">
            <v>69</v>
          </cell>
          <cell r="S71" t="str">
            <v>*</v>
          </cell>
          <cell r="T71" t="str">
            <v xml:space="preserve">CATALUÑA </v>
          </cell>
          <cell r="U71" t="str">
            <v>GSS</v>
          </cell>
          <cell r="V71" t="str">
            <v>2.4 COMUNIDADES AUTÓNOMAS TRANSFERIDAS</v>
          </cell>
          <cell r="W71" t="str">
            <v>3.4 COMUNIDADES AUTÓNOMAS TRANSFERIDAS</v>
          </cell>
          <cell r="X71" t="str">
            <v>3.4.3  COMUNIDAD AUTÓNOMA DE CATALUÑA</v>
          </cell>
          <cell r="Y71" t="str">
            <v xml:space="preserve">              Gestión de Servicios Sanitarios S.A. Lerida</v>
          </cell>
        </row>
        <row r="72">
          <cell r="R72">
            <v>70</v>
          </cell>
          <cell r="S72" t="str">
            <v>*</v>
          </cell>
          <cell r="T72" t="str">
            <v xml:space="preserve">CATALUÑA </v>
          </cell>
          <cell r="U72" t="str">
            <v>GYPSSSA</v>
          </cell>
          <cell r="V72" t="str">
            <v>2.4 COMUNIDADES AUTÓNOMAS TRANSFERIDAS</v>
          </cell>
          <cell r="W72" t="str">
            <v>3.4 COMUNIDADES AUTÓNOMAS TRANSFERIDAS</v>
          </cell>
          <cell r="X72" t="str">
            <v>3.4.3  COMUNIDAD AUTÓNOMA DE CATALUÑA</v>
          </cell>
          <cell r="Y72" t="str">
            <v xml:space="preserve">              Gestión y prestación de Servicios de Salud</v>
          </cell>
        </row>
        <row r="73">
          <cell r="I73" t="str">
            <v>AÑO</v>
          </cell>
          <cell r="J73" t="str">
            <v>GRUPO</v>
          </cell>
          <cell r="K73" t="str">
            <v>SECTOR</v>
          </cell>
          <cell r="L73" t="str">
            <v>AGGTO</v>
          </cell>
          <cell r="M73" t="str">
            <v>CLASF</v>
          </cell>
          <cell r="N73" t="str">
            <v>CLASE</v>
          </cell>
          <cell r="O73" t="str">
            <v>TRIN</v>
          </cell>
          <cell r="R73">
            <v>71</v>
          </cell>
          <cell r="S73" t="str">
            <v>*</v>
          </cell>
          <cell r="T73" t="str">
            <v xml:space="preserve">CATALUÑA </v>
          </cell>
          <cell r="U73" t="str">
            <v xml:space="preserve">ICS </v>
          </cell>
          <cell r="V73" t="str">
            <v>2.4 COMUNIDADES AUTÓNOMAS TRANSFERIDAS</v>
          </cell>
          <cell r="W73" t="str">
            <v>3.4 COMUNIDADES AUTÓNOMAS TRANSFERIDAS</v>
          </cell>
          <cell r="X73" t="str">
            <v>3.4.3  COMUNIDAD AUTÓNOMA DE CATALUÑA</v>
          </cell>
          <cell r="Y73" t="str">
            <v xml:space="preserve">              Instituto Catalán de la Salud</v>
          </cell>
        </row>
        <row r="74">
          <cell r="I74">
            <v>2004</v>
          </cell>
          <cell r="J74" t="str">
            <v>*</v>
          </cell>
          <cell r="K74" t="str">
            <v>CANTABRIA</v>
          </cell>
          <cell r="L74" t="str">
            <v>*</v>
          </cell>
          <cell r="M74">
            <v>1.2</v>
          </cell>
          <cell r="N74" t="str">
            <v>B</v>
          </cell>
          <cell r="R74">
            <v>72</v>
          </cell>
          <cell r="S74" t="str">
            <v>*</v>
          </cell>
          <cell r="T74" t="str">
            <v xml:space="preserve">CATALUÑA </v>
          </cell>
          <cell r="U74" t="str">
            <v xml:space="preserve">IASSA </v>
          </cell>
          <cell r="V74" t="str">
            <v>2.4 COMUNIDADES AUTÓNOMAS TRANSFERIDAS</v>
          </cell>
          <cell r="W74" t="str">
            <v>3.4 COMUNIDADES AUTÓNOMAS TRANSFERIDAS</v>
          </cell>
          <cell r="X74" t="str">
            <v>3.4.3  COMUNIDAD AUTÓNOMA DE CATALUÑA</v>
          </cell>
          <cell r="Y74" t="str">
            <v xml:space="preserve">              Instituto de Asistencia Sanitaria </v>
          </cell>
        </row>
        <row r="75">
          <cell r="R75">
            <v>73</v>
          </cell>
          <cell r="S75" t="str">
            <v>*</v>
          </cell>
          <cell r="T75" t="str">
            <v xml:space="preserve">CATALUÑA </v>
          </cell>
          <cell r="U75" t="str">
            <v>IDISA</v>
          </cell>
          <cell r="V75" t="str">
            <v>2.4 COMUNIDADES AUTÓNOMAS TRANSFERIDAS</v>
          </cell>
          <cell r="W75" t="str">
            <v>3.4 COMUNIDADES AUTÓNOMAS TRANSFERIDAS</v>
          </cell>
          <cell r="X75" t="str">
            <v>3.4.3  COMUNIDAD AUTÓNOMA DE CATALUÑA</v>
          </cell>
          <cell r="Y75" t="str">
            <v xml:space="preserve">              Instituto de Diagnóstico por la Imagen</v>
          </cell>
        </row>
        <row r="76">
          <cell r="I76" t="str">
            <v>AÑO</v>
          </cell>
          <cell r="J76" t="str">
            <v>GRUPO</v>
          </cell>
          <cell r="K76" t="str">
            <v>SECTOR</v>
          </cell>
          <cell r="L76" t="str">
            <v>AGGTO</v>
          </cell>
          <cell r="M76" t="str">
            <v>CLASF</v>
          </cell>
          <cell r="N76" t="str">
            <v>CLASE</v>
          </cell>
          <cell r="O76" t="str">
            <v>TRIN</v>
          </cell>
          <cell r="R76">
            <v>74</v>
          </cell>
          <cell r="S76" t="str">
            <v>*</v>
          </cell>
          <cell r="T76" t="str">
            <v xml:space="preserve">CATALUÑA </v>
          </cell>
          <cell r="U76" t="str">
            <v xml:space="preserve">IES </v>
          </cell>
          <cell r="V76" t="str">
            <v>2.4 COMUNIDADES AUTÓNOMAS TRANSFERIDAS</v>
          </cell>
          <cell r="W76" t="str">
            <v>3.4 COMUNIDADES AUTÓNOMAS TRANSFERIDAS</v>
          </cell>
          <cell r="X76" t="str">
            <v>3.4.3  COMUNIDAD AUTÓNOMA DE CATALUÑA</v>
          </cell>
          <cell r="Y76" t="str">
            <v xml:space="preserve">              Instituto de Estudios de la Salud</v>
          </cell>
        </row>
        <row r="77">
          <cell r="I77">
            <v>2004</v>
          </cell>
          <cell r="J77" t="str">
            <v>*</v>
          </cell>
          <cell r="K77" t="str">
            <v>CANTABRIA</v>
          </cell>
          <cell r="L77" t="str">
            <v>*</v>
          </cell>
          <cell r="M77">
            <v>1.2</v>
          </cell>
          <cell r="N77" t="str">
            <v>C</v>
          </cell>
          <cell r="R77">
            <v>75</v>
          </cell>
          <cell r="S77" t="str">
            <v>*</v>
          </cell>
          <cell r="T77" t="str">
            <v xml:space="preserve">CATALUÑA </v>
          </cell>
          <cell r="U77" t="str">
            <v>SCS</v>
          </cell>
          <cell r="V77" t="str">
            <v>2.4 COMUNIDADES AUTÓNOMAS TRANSFERIDAS</v>
          </cell>
          <cell r="W77" t="str">
            <v>3.4 COMUNIDADES AUTÓNOMAS TRANSFERIDAS</v>
          </cell>
          <cell r="X77" t="str">
            <v>3.4.3  COMUNIDAD AUTÓNOMA DE CATALUÑA</v>
          </cell>
          <cell r="Y77" t="str">
            <v xml:space="preserve">              Servicio Catalán de la Salud</v>
          </cell>
        </row>
        <row r="78">
          <cell r="R78">
            <v>76</v>
          </cell>
          <cell r="S78" t="str">
            <v>*</v>
          </cell>
          <cell r="T78" t="str">
            <v xml:space="preserve">CATALUÑA </v>
          </cell>
          <cell r="U78" t="str">
            <v>ICO</v>
          </cell>
          <cell r="V78" t="str">
            <v>2.4 COMUNIDADES AUTÓNOMAS TRANSFERIDAS</v>
          </cell>
          <cell r="W78" t="str">
            <v>3.4 COMUNIDADES AUTÓNOMAS TRANSFERIDAS</v>
          </cell>
          <cell r="X78" t="str">
            <v>3.4.3  COMUNIDAD AUTÓNOMA DE CATALUÑA</v>
          </cell>
          <cell r="Y78" t="str">
            <v xml:space="preserve">              Instituto Catalán de Oncología</v>
          </cell>
        </row>
        <row r="79">
          <cell r="I79" t="str">
            <v>AÑO</v>
          </cell>
          <cell r="J79" t="str">
            <v>GRUPO</v>
          </cell>
          <cell r="K79" t="str">
            <v>SECTOR</v>
          </cell>
          <cell r="L79" t="str">
            <v>AGGTO</v>
          </cell>
          <cell r="M79" t="str">
            <v>CLASF</v>
          </cell>
          <cell r="N79" t="str">
            <v>CLASE</v>
          </cell>
          <cell r="O79" t="str">
            <v>TRIN</v>
          </cell>
          <cell r="R79">
            <v>77</v>
          </cell>
          <cell r="S79" t="str">
            <v>*</v>
          </cell>
          <cell r="T79" t="str">
            <v xml:space="preserve">CATALUÑA </v>
          </cell>
          <cell r="U79" t="str">
            <v>CTBT</v>
          </cell>
          <cell r="V79" t="str">
            <v>2.4 COMUNIDADES AUTÓNOMAS TRANSFERIDAS</v>
          </cell>
          <cell r="W79" t="str">
            <v>3.4 COMUNIDADES AUTÓNOMAS TRANSFERIDAS</v>
          </cell>
          <cell r="X79" t="str">
            <v>3.4.3  COMUNIDAD AUTÓNOMA DE CATALUÑA</v>
          </cell>
          <cell r="Y79" t="str">
            <v xml:space="preserve">              Centro de Tranfusión y Banco de Tejidos</v>
          </cell>
        </row>
        <row r="80">
          <cell r="I80">
            <v>2005</v>
          </cell>
          <cell r="J80" t="str">
            <v>*</v>
          </cell>
          <cell r="K80" t="str">
            <v>CANTABRIA</v>
          </cell>
          <cell r="L80" t="str">
            <v>*</v>
          </cell>
          <cell r="M80">
            <v>1.2</v>
          </cell>
          <cell r="N80" t="str">
            <v>A</v>
          </cell>
          <cell r="R80">
            <v>78</v>
          </cell>
          <cell r="S80" t="str">
            <v>*</v>
          </cell>
          <cell r="T80" t="str">
            <v xml:space="preserve">CATALUÑA </v>
          </cell>
          <cell r="U80" t="str">
            <v>AATRM</v>
          </cell>
          <cell r="V80" t="str">
            <v>2.4 COMUNIDADES AUTÓNOMAS TRANSFERIDAS</v>
          </cell>
          <cell r="W80" t="str">
            <v>3.4 COMUNIDADES AUTÓNOMAS TRANSFERIDAS</v>
          </cell>
          <cell r="X80" t="str">
            <v>3.4.3  COMUNIDAD AUTÓNOMA DE CATALUÑA</v>
          </cell>
          <cell r="Y80" t="str">
            <v xml:space="preserve">              Agencia de Evaluación de Tecnología Médica</v>
          </cell>
        </row>
        <row r="81">
          <cell r="R81">
            <v>79</v>
          </cell>
          <cell r="S81" t="str">
            <v>*</v>
          </cell>
          <cell r="T81" t="str">
            <v xml:space="preserve">CATALUÑA </v>
          </cell>
          <cell r="U81" t="str">
            <v>SEMSA</v>
          </cell>
          <cell r="V81" t="str">
            <v>2.4 COMUNIDADES AUTÓNOMAS TRANSFERIDAS</v>
          </cell>
          <cell r="W81" t="str">
            <v>3.4 COMUNIDADES AUTÓNOMAS TRANSFERIDAS</v>
          </cell>
          <cell r="X81" t="str">
            <v>3.4.3  COMUNIDAD AUTÓNOMA DE CATALUÑA</v>
          </cell>
          <cell r="Y81" t="str">
            <v xml:space="preserve">              Sistemas de Emergencias Médicas,S.A.</v>
          </cell>
        </row>
        <row r="82">
          <cell r="I82" t="str">
            <v>AÑO</v>
          </cell>
          <cell r="J82" t="str">
            <v>GRUPO</v>
          </cell>
          <cell r="K82" t="str">
            <v>SECTOR</v>
          </cell>
          <cell r="L82" t="str">
            <v>AGGTO</v>
          </cell>
          <cell r="M82" t="str">
            <v>CLASF</v>
          </cell>
          <cell r="N82" t="str">
            <v>CLASE</v>
          </cell>
          <cell r="O82" t="str">
            <v>TRIN</v>
          </cell>
          <cell r="R82">
            <v>80</v>
          </cell>
          <cell r="S82" t="str">
            <v>*</v>
          </cell>
          <cell r="T82" t="str">
            <v xml:space="preserve">CATALUÑA </v>
          </cell>
          <cell r="U82" t="str">
            <v>PSPV</v>
          </cell>
          <cell r="V82" t="str">
            <v>2.4 COMUNIDADES AUTÓNOMAS TRANSFERIDAS</v>
          </cell>
          <cell r="W82" t="str">
            <v>3.4 COMUNIDADES AUTÓNOMAS TRANSFERIDAS</v>
          </cell>
          <cell r="X82" t="str">
            <v>3.4.3  COMUNIDAD AUTÓNOMA DE CATALUÑA</v>
          </cell>
          <cell r="Y82" t="str">
            <v xml:space="preserve">              Parc Sanitari Pere Virgili</v>
          </cell>
        </row>
        <row r="83">
          <cell r="I83">
            <v>2005</v>
          </cell>
          <cell r="J83" t="str">
            <v>*</v>
          </cell>
          <cell r="K83" t="str">
            <v>CANTABRIA</v>
          </cell>
          <cell r="L83" t="str">
            <v>*</v>
          </cell>
          <cell r="M83">
            <v>1.2</v>
          </cell>
          <cell r="N83" t="str">
            <v>B</v>
          </cell>
          <cell r="R83">
            <v>81</v>
          </cell>
          <cell r="S83" t="str">
            <v>*</v>
          </cell>
          <cell r="T83" t="str">
            <v xml:space="preserve">CATALUÑA </v>
          </cell>
          <cell r="U83" t="str">
            <v>ACSA</v>
          </cell>
          <cell r="V83" t="str">
            <v>2.4 COMUNIDADES AUTÓNOMAS TRANSFERIDAS</v>
          </cell>
          <cell r="W83" t="str">
            <v>3.4 COMUNIDADES AUTÓNOMAS TRANSFERIDAS</v>
          </cell>
          <cell r="X83" t="str">
            <v>3.4.3  COMUNIDAD AUTÓNOMA DE CATALUÑA</v>
          </cell>
          <cell r="Y83" t="str">
            <v xml:space="preserve">              Agencia Catalana de Seguridad Alimentaria</v>
          </cell>
        </row>
        <row r="84">
          <cell r="R84">
            <v>82</v>
          </cell>
          <cell r="S84" t="str">
            <v>*</v>
          </cell>
          <cell r="T84" t="str">
            <v xml:space="preserve">CATALUÑA </v>
          </cell>
          <cell r="U84" t="str">
            <v>I.C.A.M.</v>
          </cell>
          <cell r="V84" t="str">
            <v>2.4 COMUNIDADES AUTÓNOMAS TRANSFERIDAS</v>
          </cell>
          <cell r="W84" t="str">
            <v>3.4 COMUNIDADES AUTÓNOMAS TRANSFERIDAS</v>
          </cell>
          <cell r="X84" t="str">
            <v>3.4.3  COMUNIDAD AUTÓNOMA DE CATALUÑA</v>
          </cell>
          <cell r="Y84" t="str">
            <v xml:space="preserve">              Instituto Catalán de Evaluaciones Médicas.</v>
          </cell>
        </row>
        <row r="85">
          <cell r="R85">
            <v>83</v>
          </cell>
          <cell r="S85" t="str">
            <v>*</v>
          </cell>
          <cell r="T85" t="str">
            <v xml:space="preserve">CATALUÑA </v>
          </cell>
          <cell r="U85" t="str">
            <v>C.H.V.</v>
          </cell>
          <cell r="V85" t="str">
            <v>2.4 COMUNIDADES AUTÓNOMAS TRANSFERIDAS</v>
          </cell>
          <cell r="W85" t="str">
            <v>3.4 COMUNIDADES AUTÓNOMAS TRANSFERIDAS</v>
          </cell>
          <cell r="X85" t="str">
            <v>3.4.3  COMUNIDAD AUTÓNOMA DE CATALUÑA</v>
          </cell>
          <cell r="Y85" t="str">
            <v xml:space="preserve">              Consorcio Hospitalario de Vic.</v>
          </cell>
        </row>
        <row r="86">
          <cell r="R86">
            <v>84</v>
          </cell>
          <cell r="S86" t="str">
            <v>*</v>
          </cell>
          <cell r="T86" t="str">
            <v xml:space="preserve">CATALUÑA </v>
          </cell>
          <cell r="U86" t="str">
            <v>C.S.P.T.</v>
          </cell>
          <cell r="V86" t="str">
            <v>2.4 COMUNIDADES AUTÓNOMAS TRANSFERIDAS</v>
          </cell>
          <cell r="W86" t="str">
            <v>3.4 COMUNIDADES AUTÓNOMAS TRANSFERIDAS</v>
          </cell>
          <cell r="X86" t="str">
            <v>3.4.3  COMUNIDAD AUTÓNOMA DE CATALUÑA</v>
          </cell>
          <cell r="Y86" t="str">
            <v xml:space="preserve">              Corporación Sanitaria Parc Taulí de Sabadell.</v>
          </cell>
        </row>
        <row r="87">
          <cell r="R87">
            <v>85</v>
          </cell>
          <cell r="S87" t="str">
            <v>*</v>
          </cell>
          <cell r="T87" t="str">
            <v xml:space="preserve">CATALUÑA </v>
          </cell>
          <cell r="U87" t="str">
            <v>C.S.B.</v>
          </cell>
          <cell r="V87" t="str">
            <v>2.4 COMUNIDADES AUTÓNOMAS TRANSFERIDAS</v>
          </cell>
          <cell r="W87" t="str">
            <v>3.4 COMUNIDADES AUTÓNOMAS TRANSFERIDAS</v>
          </cell>
          <cell r="X87" t="str">
            <v>3.4.3  COMUNIDAD AUTÓNOMA DE CATALUÑA</v>
          </cell>
          <cell r="Y87" t="str">
            <v xml:space="preserve">              Consorcio Sanitario de Barcelona.</v>
          </cell>
        </row>
        <row r="88">
          <cell r="R88">
            <v>86</v>
          </cell>
          <cell r="S88" t="str">
            <v>*</v>
          </cell>
          <cell r="T88" t="str">
            <v xml:space="preserve">CATALUÑA </v>
          </cell>
          <cell r="U88" t="str">
            <v>C.S.T.</v>
          </cell>
          <cell r="V88" t="str">
            <v>2.4 COMUNIDADES AUTÓNOMAS TRANSFERIDAS</v>
          </cell>
          <cell r="W88" t="str">
            <v>3.4 COMUNIDADES AUTÓNOMAS TRANSFERIDAS</v>
          </cell>
          <cell r="X88" t="str">
            <v>3.4.3  COMUNIDAD AUTÓNOMA DE CATALUÑA</v>
          </cell>
          <cell r="Y88" t="str">
            <v xml:space="preserve">              Consorcio Sanitario de Terrassa.</v>
          </cell>
        </row>
        <row r="89">
          <cell r="R89">
            <v>87</v>
          </cell>
          <cell r="S89" t="str">
            <v>*</v>
          </cell>
          <cell r="T89" t="str">
            <v xml:space="preserve">CATALUÑA </v>
          </cell>
          <cell r="U89" t="str">
            <v>C.S.I.</v>
          </cell>
          <cell r="V89" t="str">
            <v>2.4 COMUNIDADES AUTÓNOMAS TRANSFERIDAS</v>
          </cell>
          <cell r="W89" t="str">
            <v>3.4 COMUNIDADES AUTÓNOMAS TRANSFERIDAS</v>
          </cell>
          <cell r="X89" t="str">
            <v>3.4.3  COMUNIDAD AUTÓNOMA DE CATALUÑA</v>
          </cell>
          <cell r="Y89" t="str">
            <v xml:space="preserve">              Consorcio Sanitario Integral.</v>
          </cell>
        </row>
        <row r="90">
          <cell r="R90">
            <v>88</v>
          </cell>
          <cell r="S90" t="str">
            <v>*</v>
          </cell>
          <cell r="T90" t="str">
            <v xml:space="preserve">CATALUÑA </v>
          </cell>
          <cell r="U90" t="str">
            <v>C.S.A.P.</v>
          </cell>
          <cell r="V90" t="str">
            <v>2.4 COMUNIDADES AUTÓNOMAS TRANSFERIDAS</v>
          </cell>
          <cell r="W90" t="str">
            <v>3.4 COMUNIDADES AUTÓNOMAS TRANSFERIDAS</v>
          </cell>
          <cell r="X90" t="str">
            <v>3.4.3  COMUNIDAD AUTÓNOMA DE CATALUÑA</v>
          </cell>
          <cell r="Y90" t="str">
            <v xml:space="preserve">              Consorcio Sanitario Alt Penedés.</v>
          </cell>
        </row>
        <row r="91">
          <cell r="R91">
            <v>89</v>
          </cell>
          <cell r="S91" t="str">
            <v>*</v>
          </cell>
          <cell r="T91" t="str">
            <v xml:space="preserve">CATALUÑA </v>
          </cell>
          <cell r="U91" t="str">
            <v>C.S.M.</v>
          </cell>
          <cell r="V91" t="str">
            <v>2.4 COMUNIDADES AUTÓNOMAS TRANSFERIDAS</v>
          </cell>
          <cell r="W91" t="str">
            <v>3.4 COMUNIDADES AUTÓNOMAS TRANSFERIDAS</v>
          </cell>
          <cell r="X91" t="str">
            <v>3.4.3  COMUNIDAD AUTÓNOMA DE CATALUÑA</v>
          </cell>
          <cell r="Y91" t="str">
            <v xml:space="preserve">              Consorcio Sanitario del Maresme.</v>
          </cell>
        </row>
        <row r="92">
          <cell r="I92" t="str">
            <v>AÑO</v>
          </cell>
          <cell r="J92" t="str">
            <v>GRUPO</v>
          </cell>
          <cell r="K92" t="str">
            <v>SECTOR</v>
          </cell>
          <cell r="L92" t="str">
            <v>AGGTO</v>
          </cell>
          <cell r="M92" t="str">
            <v>CLASF</v>
          </cell>
          <cell r="N92" t="str">
            <v>CLASE</v>
          </cell>
          <cell r="O92" t="str">
            <v>TRIN</v>
          </cell>
          <cell r="R92">
            <v>90</v>
          </cell>
          <cell r="S92" t="str">
            <v>*</v>
          </cell>
          <cell r="T92" t="str">
            <v xml:space="preserve">CATALUÑA </v>
          </cell>
          <cell r="U92" t="str">
            <v>ANOIA</v>
          </cell>
          <cell r="V92" t="str">
            <v>2.4 COMUNIDADES AUTÓNOMAS TRANSFERIDAS</v>
          </cell>
          <cell r="W92" t="str">
            <v>3.4 COMUNIDADES AUTÓNOMAS TRANSFERIDAS</v>
          </cell>
          <cell r="X92" t="str">
            <v>3.4.3  COMUNIDAD AUTÓNOMA DE CATALUÑA</v>
          </cell>
          <cell r="Y92" t="str">
            <v xml:space="preserve">              Consorcio Sanitario de la Anoia.</v>
          </cell>
        </row>
        <row r="93">
          <cell r="I93">
            <v>2005</v>
          </cell>
          <cell r="J93" t="str">
            <v>*</v>
          </cell>
          <cell r="K93" t="str">
            <v>CANTABRIA</v>
          </cell>
          <cell r="L93" t="str">
            <v>*</v>
          </cell>
          <cell r="M93">
            <v>1.2</v>
          </cell>
          <cell r="N93" t="str">
            <v>C</v>
          </cell>
          <cell r="R93">
            <v>91</v>
          </cell>
          <cell r="S93" t="str">
            <v>*</v>
          </cell>
          <cell r="T93" t="str">
            <v xml:space="preserve">CATALUÑA </v>
          </cell>
          <cell r="U93" t="str">
            <v>C.L.I.</v>
          </cell>
          <cell r="V93" t="str">
            <v>2.4 COMUNIDADES AUTÓNOMAS TRANSFERIDAS</v>
          </cell>
          <cell r="W93" t="str">
            <v>3.4 COMUNIDADES AUTÓNOMAS TRANSFERIDAS</v>
          </cell>
          <cell r="X93" t="str">
            <v>3.4.3  COMUNIDAD AUTÓNOMA DE CATALUÑA</v>
          </cell>
          <cell r="Y93" t="str">
            <v xml:space="preserve">              Consorcio del Laboratorio Intercomarcal de Alt Penedès, Anoia y Garraf</v>
          </cell>
        </row>
        <row r="94">
          <cell r="R94">
            <v>92</v>
          </cell>
          <cell r="S94" t="str">
            <v>*</v>
          </cell>
          <cell r="T94" t="str">
            <v xml:space="preserve">CATALUÑA </v>
          </cell>
          <cell r="U94" t="str">
            <v>MOLLET</v>
          </cell>
          <cell r="V94" t="str">
            <v>2.4 COMUNIDADES AUTÓNOMAS TRANSFERIDAS</v>
          </cell>
          <cell r="W94" t="str">
            <v>3.4 COMUNIDADES AUTÓNOMAS TRANSFERIDAS</v>
          </cell>
          <cell r="X94" t="str">
            <v>3.4.3  COMUNIDAD AUTÓNOMA DE CATALUÑA</v>
          </cell>
          <cell r="Y94" t="str">
            <v xml:space="preserve">              Consorcio Sanitario de Mollet del Vallès.</v>
          </cell>
        </row>
        <row r="95">
          <cell r="I95" t="str">
            <v>AÑO</v>
          </cell>
          <cell r="J95" t="str">
            <v>GRUPO</v>
          </cell>
          <cell r="K95" t="str">
            <v>SECTOR</v>
          </cell>
          <cell r="L95" t="str">
            <v>AGGTO</v>
          </cell>
          <cell r="M95" t="str">
            <v>CLASF</v>
          </cell>
          <cell r="N95" t="str">
            <v>CLASE</v>
          </cell>
          <cell r="O95" t="str">
            <v>TRIN</v>
          </cell>
          <cell r="R95">
            <v>93</v>
          </cell>
          <cell r="S95" t="str">
            <v>*</v>
          </cell>
          <cell r="T95" t="str">
            <v>VALENCIA</v>
          </cell>
          <cell r="U95" t="str">
            <v>*</v>
          </cell>
          <cell r="V95" t="str">
            <v>2.4 COMUNIDADES AUTÓNOMAS TRANSFERIDAS</v>
          </cell>
          <cell r="W95" t="str">
            <v>3.4 COMUNIDADES AUTÓNOMAS TRANSFERIDAS</v>
          </cell>
          <cell r="X95" t="str">
            <v>3.4.7  COMUNIDAD VALENCIANA</v>
          </cell>
          <cell r="Y95" t="str">
            <v xml:space="preserve">      COMUNIDAD VALENCIANA</v>
          </cell>
        </row>
        <row r="96">
          <cell r="I96">
            <v>2003</v>
          </cell>
          <cell r="J96" t="str">
            <v>*</v>
          </cell>
          <cell r="K96" t="str">
            <v>CANTABRIA</v>
          </cell>
          <cell r="L96" t="str">
            <v>*</v>
          </cell>
          <cell r="M96">
            <v>1.3</v>
          </cell>
          <cell r="N96" t="str">
            <v>A</v>
          </cell>
          <cell r="R96">
            <v>94</v>
          </cell>
          <cell r="S96" t="str">
            <v>*</v>
          </cell>
          <cell r="T96" t="str">
            <v>VALENCIA</v>
          </cell>
          <cell r="U96" t="str">
            <v>CSCV</v>
          </cell>
          <cell r="V96" t="str">
            <v>2.4 COMUNIDADES AUTÓNOMAS TRANSFERIDAS</v>
          </cell>
          <cell r="W96" t="str">
            <v>3.4 COMUNIDADES AUTÓNOMAS TRANSFERIDAS</v>
          </cell>
          <cell r="X96" t="str">
            <v>3.4.7  COMUNIDAD VALENCIANA</v>
          </cell>
          <cell r="Y96" t="str">
            <v xml:space="preserve">              Consejería de Sanidad y Consumo</v>
          </cell>
        </row>
        <row r="97">
          <cell r="R97">
            <v>95</v>
          </cell>
          <cell r="S97" t="str">
            <v>*</v>
          </cell>
          <cell r="T97" t="str">
            <v>VALENCIA</v>
          </cell>
          <cell r="U97" t="str">
            <v>SVLS</v>
          </cell>
          <cell r="V97" t="str">
            <v>2.4 COMUNIDADES AUTÓNOMAS TRANSFERIDAS</v>
          </cell>
          <cell r="W97" t="str">
            <v>3.4 COMUNIDADES AUTÓNOMAS TRANSFERIDAS</v>
          </cell>
          <cell r="X97" t="str">
            <v>3.4.7  COMUNIDAD VALENCIANA</v>
          </cell>
          <cell r="Y97" t="str">
            <v xml:space="preserve">              Servicio Valenciano de Salud</v>
          </cell>
        </row>
        <row r="98">
          <cell r="I98" t="str">
            <v>AÑO</v>
          </cell>
          <cell r="J98" t="str">
            <v>GRUPO</v>
          </cell>
          <cell r="K98" t="str">
            <v>SECTOR</v>
          </cell>
          <cell r="L98" t="str">
            <v>AGGTO</v>
          </cell>
          <cell r="M98" t="str">
            <v>CLASF</v>
          </cell>
          <cell r="N98" t="str">
            <v>CLASE</v>
          </cell>
          <cell r="O98" t="str">
            <v>TRIN</v>
          </cell>
          <cell r="R98">
            <v>96</v>
          </cell>
          <cell r="S98" t="str">
            <v>*</v>
          </cell>
          <cell r="T98" t="str">
            <v>EXTREMADURA</v>
          </cell>
          <cell r="U98" t="str">
            <v>*</v>
          </cell>
          <cell r="V98" t="str">
            <v>2.4 COMUNIDADES AUTÓNOMAS TRANSFERIDAS</v>
          </cell>
          <cell r="W98" t="str">
            <v>3.4 COMUNIDADES AUTÓNOMAS TRANSFERIDAS</v>
          </cell>
          <cell r="X98" t="str">
            <v>3.5.7  COMUNIDAD AUTÓNOMA DE EXTREMADURA</v>
          </cell>
          <cell r="Y98" t="str">
            <v xml:space="preserve">      COMUNIDAD AUTÓNOMA DE EXTREMADURA</v>
          </cell>
        </row>
        <row r="99">
          <cell r="I99">
            <v>2003</v>
          </cell>
          <cell r="J99" t="str">
            <v>*</v>
          </cell>
          <cell r="K99" t="str">
            <v>CANTABRIA</v>
          </cell>
          <cell r="L99" t="str">
            <v>*</v>
          </cell>
          <cell r="M99">
            <v>1.3</v>
          </cell>
          <cell r="N99" t="str">
            <v>B</v>
          </cell>
          <cell r="R99">
            <v>97</v>
          </cell>
          <cell r="S99" t="str">
            <v>*</v>
          </cell>
          <cell r="T99" t="str">
            <v>EXTREMADURA</v>
          </cell>
          <cell r="U99" t="str">
            <v>CBS</v>
          </cell>
          <cell r="V99" t="str">
            <v>2.4 COMUNIDADES AUTÓNOMAS TRANSFERIDAS</v>
          </cell>
          <cell r="W99" t="str">
            <v>3.4 COMUNIDADES AUTÓNOMAS TRANSFERIDAS</v>
          </cell>
          <cell r="X99" t="str">
            <v>3.5.7  COMUNIDAD AUTÓNOMA DE EXTREMADURA</v>
          </cell>
          <cell r="Y99" t="str">
            <v xml:space="preserve">              Consejeria de Sanidad y Consumo</v>
          </cell>
        </row>
        <row r="100">
          <cell r="R100">
            <v>98</v>
          </cell>
          <cell r="S100" t="str">
            <v>*</v>
          </cell>
          <cell r="T100" t="str">
            <v>EXTREMADURA</v>
          </cell>
          <cell r="U100" t="str">
            <v>SEREX</v>
          </cell>
          <cell r="V100" t="str">
            <v>2.4 COMUNIDADES AUTÓNOMAS TRANSFERIDAS</v>
          </cell>
          <cell r="W100" t="str">
            <v>3.4 COMUNIDADES AUTÓNOMAS TRANSFERIDAS</v>
          </cell>
          <cell r="X100" t="str">
            <v>3.5.7  COMUNIDAD AUTÓNOMA DE EXTREMADURA</v>
          </cell>
          <cell r="Y100" t="str">
            <v xml:space="preserve">              Servicio Extremeño de Salud</v>
          </cell>
        </row>
        <row r="101">
          <cell r="R101">
            <v>99</v>
          </cell>
          <cell r="S101" t="str">
            <v>*</v>
          </cell>
          <cell r="T101" t="str">
            <v>GALICIA</v>
          </cell>
          <cell r="U101" t="str">
            <v>*</v>
          </cell>
          <cell r="V101" t="str">
            <v>2.4 COMUNIDADES AUTÓNOMAS TRANSFERIDAS</v>
          </cell>
          <cell r="W101" t="str">
            <v>3.4 COMUNIDADES AUTÓNOMAS TRANSFERIDAS</v>
          </cell>
          <cell r="X101" t="str">
            <v>3.4.4  COMUNIDAD AUTÓNOMA DE GALICIA</v>
          </cell>
          <cell r="Y101" t="str">
            <v xml:space="preserve">      COMUNIDAD AUTÓNOMA DE GALICIA</v>
          </cell>
        </row>
        <row r="102">
          <cell r="R102">
            <v>100</v>
          </cell>
          <cell r="S102" t="str">
            <v>*</v>
          </cell>
          <cell r="T102" t="str">
            <v>GALICIA</v>
          </cell>
          <cell r="U102" t="str">
            <v>CSSSG</v>
          </cell>
          <cell r="V102" t="str">
            <v>2.4 COMUNIDADES AUTÓNOMAS TRANSFERIDAS</v>
          </cell>
          <cell r="W102" t="str">
            <v>3.4 COMUNIDADES AUTÓNOMAS TRANSFERIDAS</v>
          </cell>
          <cell r="X102" t="str">
            <v>3.4.4  COMUNIDAD AUTÓNOMA DE GALICIA</v>
          </cell>
          <cell r="Y102" t="str">
            <v xml:space="preserve">              Consejería de Sanidad y Servicios Sociales</v>
          </cell>
        </row>
        <row r="103">
          <cell r="I103" t="str">
            <v>AÑO</v>
          </cell>
          <cell r="J103" t="str">
            <v>GRUPO</v>
          </cell>
          <cell r="K103" t="str">
            <v>SECTOR</v>
          </cell>
          <cell r="L103" t="str">
            <v>AGGTO</v>
          </cell>
          <cell r="M103" t="str">
            <v>CLASF</v>
          </cell>
          <cell r="N103" t="str">
            <v>CLASE</v>
          </cell>
          <cell r="O103" t="str">
            <v>TRIN</v>
          </cell>
          <cell r="R103">
            <v>101</v>
          </cell>
          <cell r="S103" t="str">
            <v>*</v>
          </cell>
          <cell r="T103" t="str">
            <v>GALICIA</v>
          </cell>
          <cell r="U103" t="str">
            <v>SERGAS</v>
          </cell>
          <cell r="V103" t="str">
            <v>2.4 COMUNIDADES AUTÓNOMAS TRANSFERIDAS</v>
          </cell>
          <cell r="W103" t="str">
            <v>3.4 COMUNIDADES AUTÓNOMAS TRANSFERIDAS</v>
          </cell>
          <cell r="X103" t="str">
            <v>3.4.4  COMUNIDAD AUTÓNOMA DE GALICIA</v>
          </cell>
          <cell r="Y103" t="str">
            <v xml:space="preserve">              Servicio Gallego de Salud</v>
          </cell>
        </row>
        <row r="104">
          <cell r="I104">
            <v>2003</v>
          </cell>
          <cell r="J104" t="str">
            <v>*</v>
          </cell>
          <cell r="K104" t="str">
            <v>CANTABRIA</v>
          </cell>
          <cell r="L104" t="str">
            <v>*</v>
          </cell>
          <cell r="M104">
            <v>1.3</v>
          </cell>
          <cell r="N104" t="str">
            <v>C</v>
          </cell>
          <cell r="R104">
            <v>102</v>
          </cell>
          <cell r="S104" t="str">
            <v>*</v>
          </cell>
          <cell r="T104" t="str">
            <v>GALICIA</v>
          </cell>
          <cell r="U104" t="str">
            <v>VERIN</v>
          </cell>
          <cell r="V104" t="str">
            <v>2.4 COMUNIDADES AUTÓNOMAS TRANSFERIDAS</v>
          </cell>
          <cell r="W104" t="str">
            <v>3.4 COMUNIDADES AUTÓNOMAS TRANSFERIDAS</v>
          </cell>
          <cell r="X104" t="str">
            <v>3.4.4  COMUNIDAD AUTÓNOMA DE GALICIA</v>
          </cell>
          <cell r="Y104" t="str">
            <v xml:space="preserve">              Fundación Pública Hospital de Verín</v>
          </cell>
        </row>
        <row r="105">
          <cell r="R105">
            <v>103</v>
          </cell>
          <cell r="S105" t="str">
            <v>*</v>
          </cell>
          <cell r="T105" t="str">
            <v>GALICIA</v>
          </cell>
          <cell r="U105" t="str">
            <v>CTG</v>
          </cell>
          <cell r="V105" t="str">
            <v>2.4 COMUNIDADES AUTÓNOMAS TRANSFERIDAS</v>
          </cell>
          <cell r="W105" t="str">
            <v>3.4 COMUNIDADES AUTÓNOMAS TRANSFERIDAS</v>
          </cell>
          <cell r="X105" t="str">
            <v>3.4.4  COMUNIDAD AUTÓNOMA DE GALICIA</v>
          </cell>
          <cell r="Y105" t="str">
            <v xml:space="preserve">              Centro de Transfusión de Galicia</v>
          </cell>
        </row>
        <row r="106">
          <cell r="I106" t="str">
            <v>AÑO</v>
          </cell>
          <cell r="J106" t="str">
            <v>GRUPO</v>
          </cell>
          <cell r="K106" t="str">
            <v>SECTOR</v>
          </cell>
          <cell r="L106" t="str">
            <v>AGGTO</v>
          </cell>
          <cell r="M106" t="str">
            <v>CLASF</v>
          </cell>
          <cell r="N106" t="str">
            <v>CLASE</v>
          </cell>
          <cell r="O106" t="str">
            <v>TRIN</v>
          </cell>
          <cell r="R106">
            <v>104</v>
          </cell>
          <cell r="S106" t="str">
            <v>*</v>
          </cell>
          <cell r="T106" t="str">
            <v>GALICIA</v>
          </cell>
          <cell r="U106" t="str">
            <v>MEDTEC</v>
          </cell>
          <cell r="V106" t="str">
            <v>2.4 COMUNIDADES AUTÓNOMAS TRANSFERIDAS</v>
          </cell>
          <cell r="W106" t="str">
            <v>3.4 COMUNIDADES AUTÓNOMAS TRANSFERIDAS</v>
          </cell>
          <cell r="X106" t="str">
            <v>3.4.4  COMUNIDAD AUTÓNOMA DE GALICIA</v>
          </cell>
          <cell r="Y106" t="str">
            <v xml:space="preserve">              Sociedad Pública MEDTEC</v>
          </cell>
        </row>
        <row r="107">
          <cell r="I107">
            <v>2004</v>
          </cell>
          <cell r="J107" t="str">
            <v>*</v>
          </cell>
          <cell r="K107" t="str">
            <v>CANTABRIA</v>
          </cell>
          <cell r="L107" t="str">
            <v>*</v>
          </cell>
          <cell r="M107">
            <v>1.3</v>
          </cell>
          <cell r="N107" t="str">
            <v>A</v>
          </cell>
          <cell r="R107">
            <v>105</v>
          </cell>
          <cell r="S107" t="str">
            <v>*</v>
          </cell>
          <cell r="T107" t="str">
            <v>GALICIA</v>
          </cell>
          <cell r="U107" t="str">
            <v>INGO</v>
          </cell>
          <cell r="V107" t="str">
            <v>2.4 COMUNIDADES AUTÓNOMAS TRANSFERIDAS</v>
          </cell>
          <cell r="W107" t="str">
            <v>3.4 COMUNIDADES AUTÓNOMAS TRANSFERIDAS</v>
          </cell>
          <cell r="X107" t="str">
            <v>3.4.4  COMUNIDAD AUTÓNOMA DE GALICIA</v>
          </cell>
          <cell r="Y107" t="str">
            <v xml:space="preserve">              Instituto Galego de Oftalmoloxía</v>
          </cell>
        </row>
        <row r="108">
          <cell r="R108">
            <v>106</v>
          </cell>
          <cell r="S108" t="str">
            <v>*</v>
          </cell>
          <cell r="T108" t="str">
            <v>GALICIA</v>
          </cell>
          <cell r="U108" t="str">
            <v>XUNQUE</v>
          </cell>
          <cell r="V108" t="str">
            <v>2.4 COMUNIDADES AUTÓNOMAS TRANSFERIDAS</v>
          </cell>
          <cell r="W108" t="str">
            <v>3.4 COMUNIDADES AUTÓNOMAS TRANSFERIDAS</v>
          </cell>
          <cell r="X108" t="str">
            <v>3.4.4  COMUNIDAD AUTÓNOMA DE GALICIA</v>
          </cell>
          <cell r="Y108" t="str">
            <v xml:space="preserve">              Fundación Pública Hospital Virxe da Xunqueira</v>
          </cell>
        </row>
        <row r="109">
          <cell r="I109" t="str">
            <v>AÑO</v>
          </cell>
          <cell r="J109" t="str">
            <v>GRUPO</v>
          </cell>
          <cell r="K109" t="str">
            <v>SECTOR</v>
          </cell>
          <cell r="L109" t="str">
            <v>AGGTO</v>
          </cell>
          <cell r="M109" t="str">
            <v>CLASF</v>
          </cell>
          <cell r="N109" t="str">
            <v>CLASE</v>
          </cell>
          <cell r="O109" t="str">
            <v>TRIN</v>
          </cell>
          <cell r="R109">
            <v>107</v>
          </cell>
          <cell r="S109" t="str">
            <v>*</v>
          </cell>
          <cell r="T109" t="str">
            <v>GALICIA</v>
          </cell>
          <cell r="U109" t="str">
            <v>BARBAN</v>
          </cell>
          <cell r="V109" t="str">
            <v>2.4 COMUNIDADES AUTÓNOMAS TRANSFERIDAS</v>
          </cell>
          <cell r="W109" t="str">
            <v>3.4 COMUNIDADES AUTÓNOMAS TRANSFERIDAS</v>
          </cell>
          <cell r="X109" t="str">
            <v>3.4.4  COMUNIDAD AUTÓNOMA DE GALICIA</v>
          </cell>
          <cell r="Y109" t="str">
            <v xml:space="preserve">              Fundación Pública Hospital Barbanza</v>
          </cell>
        </row>
        <row r="110">
          <cell r="I110">
            <v>2004</v>
          </cell>
          <cell r="J110" t="str">
            <v>*</v>
          </cell>
          <cell r="K110" t="str">
            <v>CANTABRIA</v>
          </cell>
          <cell r="L110" t="str">
            <v>*</v>
          </cell>
          <cell r="M110">
            <v>1.3</v>
          </cell>
          <cell r="N110" t="str">
            <v>B</v>
          </cell>
          <cell r="R110">
            <v>108</v>
          </cell>
          <cell r="S110" t="str">
            <v>*</v>
          </cell>
          <cell r="T110" t="str">
            <v>GALICIA</v>
          </cell>
          <cell r="U110" t="str">
            <v>FEGAS</v>
          </cell>
          <cell r="V110" t="str">
            <v>2.4 COMUNIDADES AUTÓNOMAS TRANSFERIDAS</v>
          </cell>
          <cell r="W110" t="str">
            <v>3.4 COMUNIDADES AUTÓNOMAS TRANSFERIDAS</v>
          </cell>
          <cell r="X110" t="str">
            <v>3.4.4  COMUNIDAD AUTÓNOMA DE GALICIA</v>
          </cell>
          <cell r="Y110" t="str">
            <v xml:space="preserve">              Fundación Púb. Escola Galega de Admón. Sanitaria</v>
          </cell>
        </row>
        <row r="111">
          <cell r="R111">
            <v>109</v>
          </cell>
          <cell r="S111" t="str">
            <v>*</v>
          </cell>
          <cell r="T111" t="str">
            <v>GALICIA</v>
          </cell>
          <cell r="U111" t="str">
            <v>FORO</v>
          </cell>
          <cell r="V111" t="str">
            <v>2.4 COMUNIDADES AUTÓNOMAS TRANSFERIDAS</v>
          </cell>
          <cell r="W111" t="str">
            <v>3.4 COMUNIDADES AUTÓNOMAS TRANSFERIDAS</v>
          </cell>
          <cell r="X111" t="str">
            <v>3.4.4  COMUNIDAD AUTÓNOMA DE GALICIA</v>
          </cell>
          <cell r="Y111" t="str">
            <v xml:space="preserve">              Fund. Púb. Foro Perm. Gallego-Iberoam. de la Salud</v>
          </cell>
        </row>
        <row r="112">
          <cell r="I112" t="str">
            <v>AÑO</v>
          </cell>
          <cell r="J112" t="str">
            <v>GRUPO</v>
          </cell>
          <cell r="K112" t="str">
            <v>SECTOR</v>
          </cell>
          <cell r="L112" t="str">
            <v>AGGTO</v>
          </cell>
          <cell r="M112" t="str">
            <v>CLASF</v>
          </cell>
          <cell r="N112" t="str">
            <v>CLASE</v>
          </cell>
          <cell r="O112" t="str">
            <v>TRIN</v>
          </cell>
          <cell r="R112">
            <v>110</v>
          </cell>
          <cell r="S112" t="str">
            <v>*</v>
          </cell>
          <cell r="T112" t="str">
            <v>GALICIA</v>
          </cell>
          <cell r="U112" t="str">
            <v>URXEN</v>
          </cell>
          <cell r="V112" t="str">
            <v>2.4 COMUNIDADES AUTÓNOMAS TRANSFERIDAS</v>
          </cell>
          <cell r="W112" t="str">
            <v>3.4 COMUNIDADES AUTÓNOMAS TRANSFERIDAS</v>
          </cell>
          <cell r="X112" t="str">
            <v>3.4.4  COMUNIDAD AUTÓNOMA DE GALICIA</v>
          </cell>
          <cell r="Y112" t="str">
            <v xml:space="preserve">              F. P. Urxencias sanitarias de Galicia 061</v>
          </cell>
        </row>
        <row r="113">
          <cell r="I113">
            <v>2004</v>
          </cell>
          <cell r="J113" t="str">
            <v>*</v>
          </cell>
          <cell r="K113" t="str">
            <v>CANTABRIA</v>
          </cell>
          <cell r="L113" t="str">
            <v>*</v>
          </cell>
          <cell r="M113">
            <v>1.3</v>
          </cell>
          <cell r="N113" t="str">
            <v>C</v>
          </cell>
          <cell r="R113">
            <v>111</v>
          </cell>
          <cell r="S113" t="str">
            <v>*</v>
          </cell>
          <cell r="T113" t="str">
            <v>GALICIA</v>
          </cell>
          <cell r="U113" t="str">
            <v>SALNES</v>
          </cell>
          <cell r="V113" t="str">
            <v>2.4 COMUNIDADES AUTÓNOMAS TRANSFERIDAS</v>
          </cell>
          <cell r="W113" t="str">
            <v>3.4 COMUNIDADES AUTÓNOMAS TRANSFERIDAS</v>
          </cell>
          <cell r="X113" t="str">
            <v>3.4.4  COMUNIDAD AUTÓNOMA DE GALICIA</v>
          </cell>
          <cell r="Y113" t="str">
            <v xml:space="preserve">              Fundación Pública Hospital Salnés</v>
          </cell>
        </row>
        <row r="114">
          <cell r="R114">
            <v>112</v>
          </cell>
          <cell r="S114" t="str">
            <v>*</v>
          </cell>
          <cell r="T114" t="str">
            <v>MADRID</v>
          </cell>
          <cell r="U114" t="str">
            <v>*</v>
          </cell>
          <cell r="V114" t="str">
            <v>2.4 COMUNIDADES AUTÓNOMAS TRANSFERIDAS</v>
          </cell>
          <cell r="W114" t="str">
            <v>3.4 COMUNIDADES AUTÓNOMAS TRANSFERIDAS</v>
          </cell>
          <cell r="X114" t="str">
            <v>3.5.9  COMUNIDAD AUTÓNOMA DE MADRID</v>
          </cell>
          <cell r="Y114" t="str">
            <v xml:space="preserve">      COMUNIDAD AUTÓNOMA DE MADRID</v>
          </cell>
        </row>
        <row r="115">
          <cell r="I115" t="str">
            <v>AÑO</v>
          </cell>
          <cell r="J115" t="str">
            <v>GRUPO</v>
          </cell>
          <cell r="K115" t="str">
            <v>SECTOR</v>
          </cell>
          <cell r="L115" t="str">
            <v>AGGTO</v>
          </cell>
          <cell r="M115" t="str">
            <v>CLASF</v>
          </cell>
          <cell r="N115" t="str">
            <v>CLASE</v>
          </cell>
          <cell r="O115" t="str">
            <v>TRIN</v>
          </cell>
          <cell r="R115">
            <v>113</v>
          </cell>
          <cell r="S115" t="str">
            <v>*</v>
          </cell>
          <cell r="T115" t="str">
            <v>MADRID</v>
          </cell>
          <cell r="U115" t="str">
            <v>CSM</v>
          </cell>
          <cell r="V115" t="str">
            <v>2.4 COMUNIDADES AUTÓNOMAS TRANSFERIDAS</v>
          </cell>
          <cell r="W115" t="str">
            <v>3.4 COMUNIDADES AUTÓNOMAS TRANSFERIDAS</v>
          </cell>
          <cell r="X115" t="str">
            <v>3.5.9  COMUNIDAD AUTÓNOMA DE MADRID</v>
          </cell>
          <cell r="Y115" t="str">
            <v xml:space="preserve">              Consejería de Salud</v>
          </cell>
        </row>
        <row r="116">
          <cell r="I116">
            <v>2005</v>
          </cell>
          <cell r="J116" t="str">
            <v>*</v>
          </cell>
          <cell r="K116" t="str">
            <v>CANTABRIA</v>
          </cell>
          <cell r="L116" t="str">
            <v>*</v>
          </cell>
          <cell r="M116">
            <v>1.3</v>
          </cell>
          <cell r="N116" t="str">
            <v>A</v>
          </cell>
          <cell r="R116">
            <v>114</v>
          </cell>
          <cell r="S116" t="str">
            <v>*</v>
          </cell>
          <cell r="T116" t="str">
            <v>MADRID</v>
          </cell>
          <cell r="U116" t="str">
            <v>SERMAS</v>
          </cell>
          <cell r="V116" t="str">
            <v>2.4 COMUNIDADES AUTÓNOMAS TRANSFERIDAS</v>
          </cell>
          <cell r="W116" t="str">
            <v>3.4 COMUNIDADES AUTÓNOMAS TRANSFERIDAS</v>
          </cell>
          <cell r="X116" t="str">
            <v>3.5.9  COMUNIDAD AUTÓNOMA DE MADRID</v>
          </cell>
          <cell r="Y116" t="str">
            <v xml:space="preserve">              Servicio Madrileño de Salud</v>
          </cell>
        </row>
        <row r="117">
          <cell r="R117">
            <v>115</v>
          </cell>
          <cell r="S117" t="str">
            <v>*</v>
          </cell>
          <cell r="T117" t="str">
            <v>MADRID</v>
          </cell>
          <cell r="U117" t="str">
            <v>AACM</v>
          </cell>
          <cell r="V117" t="str">
            <v>2.4 COMUNIDADES AUTÓNOMAS TRANSFERIDAS</v>
          </cell>
          <cell r="W117" t="str">
            <v>3.4 COMUNIDADES AUTÓNOMAS TRANSFERIDAS</v>
          </cell>
          <cell r="X117" t="str">
            <v>3.5.9  COMUNIDAD AUTÓNOMA DE MADRID</v>
          </cell>
          <cell r="Y117" t="str">
            <v xml:space="preserve">              Agencia Antidroga de la Comunidad</v>
          </cell>
        </row>
        <row r="118">
          <cell r="R118">
            <v>116</v>
          </cell>
          <cell r="S118" t="str">
            <v>*</v>
          </cell>
          <cell r="T118" t="str">
            <v>MADRID</v>
          </cell>
          <cell r="U118" t="str">
            <v>IMSALUD</v>
          </cell>
          <cell r="V118" t="str">
            <v>2.4 COMUNIDADES AUTÓNOMAS TRANSFERIDAS</v>
          </cell>
          <cell r="W118" t="str">
            <v>3.4 COMUNIDADES AUTÓNOMAS TRANSFERIDAS</v>
          </cell>
          <cell r="X118" t="str">
            <v>3.5.9  COMUNIDAD AUTÓNOMA DE MADRID</v>
          </cell>
          <cell r="Y118" t="str">
            <v xml:space="preserve">              Instituto Madrileño de Salud</v>
          </cell>
        </row>
        <row r="119">
          <cell r="R119">
            <v>117</v>
          </cell>
          <cell r="S119" t="str">
            <v>*</v>
          </cell>
          <cell r="T119" t="str">
            <v>MADRID</v>
          </cell>
          <cell r="U119" t="str">
            <v>ALCOR</v>
          </cell>
          <cell r="V119" t="str">
            <v>2.4 COMUNIDADES AUTÓNOMAS TRANSFERIDAS</v>
          </cell>
          <cell r="W119" t="str">
            <v>3.4 COMUNIDADES AUTÓNOMAS TRANSFERIDAS</v>
          </cell>
          <cell r="X119" t="str">
            <v>3.5.9  COMUNIDAD AUTÓNOMA DE MADRID</v>
          </cell>
          <cell r="Y119" t="str">
            <v xml:space="preserve">              Fundación Hospital de Alcorcón</v>
          </cell>
        </row>
        <row r="120">
          <cell r="R120">
            <v>118</v>
          </cell>
          <cell r="S120" t="str">
            <v>*</v>
          </cell>
          <cell r="T120" t="str">
            <v>MADRID</v>
          </cell>
          <cell r="U120" t="str">
            <v>ISP.MADRID</v>
          </cell>
          <cell r="V120" t="str">
            <v>2.4 COMUNIDADES AUTÓNOMAS TRANSFERIDAS</v>
          </cell>
          <cell r="W120" t="str">
            <v>3.5  COMUNIDADES AUTÓNOMAS NO TRANSFERIDAS</v>
          </cell>
          <cell r="X120" t="str">
            <v>COMUNIDAD AUTÓNOMA DE MADRID</v>
          </cell>
          <cell r="Y120" t="str">
            <v xml:space="preserve">              Instituto de Salud Pública</v>
          </cell>
        </row>
        <row r="121">
          <cell r="R121">
            <v>119</v>
          </cell>
          <cell r="S121" t="str">
            <v>*</v>
          </cell>
          <cell r="T121" t="str">
            <v>MADRID</v>
          </cell>
          <cell r="U121" t="str">
            <v>AG,LAINE.</v>
          </cell>
          <cell r="V121" t="str">
            <v>2.4 COMUNIDADES AUTÓNOMAS TRANSFERIDAS</v>
          </cell>
          <cell r="W121" t="str">
            <v>3.5  COMUNIDADES AUTÓNOMAS NO TRANSFERIDAS</v>
          </cell>
          <cell r="X121" t="str">
            <v>COMUNIDAD AUTÓNOMA DE MADRID</v>
          </cell>
          <cell r="Y121" t="str">
            <v xml:space="preserve">              Agencia Formación Lain Entralgo</v>
          </cell>
        </row>
        <row r="122">
          <cell r="I122" t="str">
            <v>AÑO</v>
          </cell>
          <cell r="J122" t="str">
            <v>GRUPO</v>
          </cell>
          <cell r="K122" t="str">
            <v>SECTOR</v>
          </cell>
          <cell r="L122" t="str">
            <v>AGGTO</v>
          </cell>
          <cell r="M122" t="str">
            <v>CLASF</v>
          </cell>
          <cell r="N122" t="str">
            <v>CLASE</v>
          </cell>
          <cell r="O122" t="str">
            <v>TRIN</v>
          </cell>
          <cell r="R122">
            <v>120</v>
          </cell>
          <cell r="S122" t="str">
            <v>*</v>
          </cell>
          <cell r="T122" t="str">
            <v>MADRID</v>
          </cell>
          <cell r="U122" t="str">
            <v>H.FUENLABRADA</v>
          </cell>
          <cell r="V122" t="str">
            <v>2.4 COMUNIDADES AUTÓNOMAS TRANSFERIDAS</v>
          </cell>
          <cell r="W122" t="str">
            <v>3.5  COMUNIDADES AUTÓNOMAS NO TRANSFERIDAS</v>
          </cell>
          <cell r="X122" t="str">
            <v>COMUNIDAD AUTÓNOMA DE MADRID</v>
          </cell>
          <cell r="Y122" t="str">
            <v xml:space="preserve">              Hospital de Fuenlabrada</v>
          </cell>
        </row>
        <row r="123">
          <cell r="I123">
            <v>2005</v>
          </cell>
          <cell r="J123" t="str">
            <v>*</v>
          </cell>
          <cell r="K123" t="str">
            <v>CANTABRIA</v>
          </cell>
          <cell r="L123" t="str">
            <v>*</v>
          </cell>
          <cell r="M123">
            <v>1.3</v>
          </cell>
          <cell r="N123" t="str">
            <v>B</v>
          </cell>
          <cell r="R123">
            <v>121</v>
          </cell>
          <cell r="S123" t="str">
            <v>*</v>
          </cell>
          <cell r="T123" t="str">
            <v>MURCIA</v>
          </cell>
          <cell r="U123" t="str">
            <v>*</v>
          </cell>
          <cell r="V123" t="str">
            <v>2.4 COMUNIDADES AUTÓNOMAS TRANSFERIDAS</v>
          </cell>
          <cell r="W123" t="str">
            <v>3.4 COMUNIDADES AUTÓNOMAS TRANSFERIDAS</v>
          </cell>
          <cell r="X123" t="str">
            <v>3.5.10  COMUNIDAD AUTÓNOMA DE MURCIA</v>
          </cell>
          <cell r="Y123" t="str">
            <v xml:space="preserve">      COMUNIDAD AUTÓNOMA DE MURCIA</v>
          </cell>
        </row>
        <row r="124">
          <cell r="R124">
            <v>122</v>
          </cell>
          <cell r="S124" t="str">
            <v>*</v>
          </cell>
          <cell r="T124" t="str">
            <v>MURCIA</v>
          </cell>
          <cell r="U124" t="str">
            <v>CSAS</v>
          </cell>
          <cell r="V124" t="str">
            <v>2.4 COMUNIDADES AUTÓNOMAS TRANSFERIDAS</v>
          </cell>
          <cell r="W124" t="str">
            <v>3.4 COMUNIDADES AUTÓNOMAS TRANSFERIDAS</v>
          </cell>
          <cell r="X124" t="str">
            <v>3.5.10  COMUNIDAD AUTÓNOMA DE MURCIA</v>
          </cell>
          <cell r="Y124" t="str">
            <v xml:space="preserve">              Consejería de Sanidad y Asuntos Sociales</v>
          </cell>
        </row>
        <row r="125">
          <cell r="R125">
            <v>123</v>
          </cell>
          <cell r="S125" t="str">
            <v>*</v>
          </cell>
          <cell r="T125" t="str">
            <v>MURCIA</v>
          </cell>
          <cell r="U125" t="str">
            <v>SRSMU</v>
          </cell>
          <cell r="V125" t="str">
            <v>2.4 COMUNIDADES AUTÓNOMAS TRANSFERIDAS</v>
          </cell>
          <cell r="W125" t="str">
            <v>3.4 COMUNIDADES AUTÓNOMAS TRANSFERIDAS</v>
          </cell>
          <cell r="X125" t="str">
            <v>3.5.10  COMUNIDAD AUTÓNOMA DE MURCIA</v>
          </cell>
          <cell r="Y125" t="str">
            <v xml:space="preserve">              Servicio Regional de Salud</v>
          </cell>
        </row>
        <row r="126">
          <cell r="R126">
            <v>124</v>
          </cell>
          <cell r="S126" t="str">
            <v>*</v>
          </cell>
          <cell r="T126" t="str">
            <v xml:space="preserve">NAVARRA </v>
          </cell>
          <cell r="U126" t="str">
            <v>*</v>
          </cell>
          <cell r="V126" t="str">
            <v>2.4 COMUNIDADES AUTÓNOMAS TRANSFERIDAS</v>
          </cell>
          <cell r="W126" t="str">
            <v>3.4 COMUNIDADES AUTÓNOMAS TRANSFERIDAS</v>
          </cell>
          <cell r="X126" t="str">
            <v>3.4.6  COMUNIDAD FORAL DE NAVARRA</v>
          </cell>
          <cell r="Y126" t="str">
            <v xml:space="preserve">      COMUNIDAD FORAL DE NAVARRA   </v>
          </cell>
        </row>
        <row r="127">
          <cell r="I127" t="str">
            <v>AÑO</v>
          </cell>
          <cell r="J127" t="str">
            <v>GRUPO</v>
          </cell>
          <cell r="K127" t="str">
            <v>SECTOR</v>
          </cell>
          <cell r="L127" t="str">
            <v>AGGTO</v>
          </cell>
          <cell r="M127" t="str">
            <v>CLASF</v>
          </cell>
          <cell r="N127" t="str">
            <v>CLASE</v>
          </cell>
          <cell r="O127" t="str">
            <v>TRIN</v>
          </cell>
          <cell r="R127">
            <v>125</v>
          </cell>
          <cell r="S127" t="str">
            <v>*</v>
          </cell>
          <cell r="T127" t="str">
            <v xml:space="preserve">NAVARRA </v>
          </cell>
          <cell r="U127" t="str">
            <v>DSN</v>
          </cell>
          <cell r="V127" t="str">
            <v>2.4 COMUNIDADES AUTÓNOMAS TRANSFERIDAS</v>
          </cell>
          <cell r="W127" t="str">
            <v>3.4 COMUNIDADES AUTÓNOMAS TRANSFERIDAS</v>
          </cell>
          <cell r="X127" t="str">
            <v>3.4.6  COMUNIDAD FORAL DE NAVARRA</v>
          </cell>
          <cell r="Y127" t="str">
            <v xml:space="preserve">              Departamento de Salud</v>
          </cell>
        </row>
        <row r="128">
          <cell r="I128">
            <v>2005</v>
          </cell>
          <cell r="J128" t="str">
            <v>*</v>
          </cell>
          <cell r="K128" t="str">
            <v>CANTABRIA</v>
          </cell>
          <cell r="L128" t="str">
            <v>*</v>
          </cell>
          <cell r="M128">
            <v>1.3</v>
          </cell>
          <cell r="N128" t="str">
            <v>C</v>
          </cell>
          <cell r="R128">
            <v>126</v>
          </cell>
          <cell r="S128" t="str">
            <v>*</v>
          </cell>
          <cell r="T128" t="str">
            <v xml:space="preserve">NAVARRA </v>
          </cell>
          <cell r="U128" t="str">
            <v>SNS</v>
          </cell>
          <cell r="V128" t="str">
            <v>2.4 COMUNIDADES AUTÓNOMAS TRANSFERIDAS</v>
          </cell>
          <cell r="W128" t="str">
            <v>3.4 COMUNIDADES AUTÓNOMAS TRANSFERIDAS</v>
          </cell>
          <cell r="X128" t="str">
            <v>3.4.6  COMUNIDAD FORAL DE NAVARRA</v>
          </cell>
          <cell r="Y128" t="str">
            <v xml:space="preserve">              Servicio Navarro de Salud</v>
          </cell>
        </row>
        <row r="129">
          <cell r="R129">
            <v>127</v>
          </cell>
          <cell r="S129" t="str">
            <v>*</v>
          </cell>
          <cell r="T129" t="str">
            <v>PAIS VASCO</v>
          </cell>
          <cell r="U129" t="str">
            <v>*</v>
          </cell>
          <cell r="V129" t="str">
            <v>2.4 COMUNIDADES AUTÓNOMAS TRANSFERIDAS</v>
          </cell>
          <cell r="W129" t="str">
            <v>3.4 COMUNIDADES AUTÓNOMAS TRANSFERIDAS</v>
          </cell>
          <cell r="X129" t="str">
            <v>3.4.5  COMUNIDAD AUTÓNOMA DEL PAÍS VASCO</v>
          </cell>
          <cell r="Y129" t="str">
            <v xml:space="preserve">       COMUNIDAD AUTÓNOMA DEL PAIS VASCO</v>
          </cell>
        </row>
        <row r="130">
          <cell r="I130" t="str">
            <v>AÑO</v>
          </cell>
          <cell r="J130" t="str">
            <v>GRUPO</v>
          </cell>
          <cell r="K130" t="str">
            <v>SECTOR</v>
          </cell>
          <cell r="L130" t="str">
            <v>AGGTO</v>
          </cell>
          <cell r="M130" t="str">
            <v>CLASF</v>
          </cell>
          <cell r="N130" t="str">
            <v>CLASE</v>
          </cell>
          <cell r="O130" t="str">
            <v>TRIN</v>
          </cell>
          <cell r="R130">
            <v>128</v>
          </cell>
          <cell r="S130" t="str">
            <v>*</v>
          </cell>
          <cell r="T130" t="str">
            <v>PAIS VASCO</v>
          </cell>
          <cell r="U130" t="str">
            <v>DS</v>
          </cell>
          <cell r="V130" t="str">
            <v>2.4 COMUNIDADES AUTÓNOMAS TRANSFERIDAS</v>
          </cell>
          <cell r="W130" t="str">
            <v>3.4 COMUNIDADES AUTÓNOMAS TRANSFERIDAS</v>
          </cell>
          <cell r="X130" t="str">
            <v>3.4.5  COMUNIDAD AUTÓNOMA DEL PAÍS VASCO</v>
          </cell>
          <cell r="Y130" t="str">
            <v xml:space="preserve">              Departamento de Sanidad</v>
          </cell>
        </row>
        <row r="131">
          <cell r="I131">
            <v>2003</v>
          </cell>
          <cell r="J131" t="str">
            <v>*</v>
          </cell>
          <cell r="K131" t="str">
            <v>CANTABRIA</v>
          </cell>
          <cell r="L131" t="str">
            <v>*</v>
          </cell>
          <cell r="M131">
            <v>1.4</v>
          </cell>
          <cell r="N131" t="str">
            <v>A</v>
          </cell>
          <cell r="R131">
            <v>129</v>
          </cell>
          <cell r="S131" t="str">
            <v>*</v>
          </cell>
          <cell r="T131" t="str">
            <v>PAIS VASCO</v>
          </cell>
          <cell r="U131" t="str">
            <v>SVS</v>
          </cell>
          <cell r="V131" t="str">
            <v>2.4 COMUNIDADES AUTÓNOMAS TRANSFERIDAS</v>
          </cell>
          <cell r="W131" t="str">
            <v>3.4 COMUNIDADES AUTÓNOMAS TRANSFERIDAS</v>
          </cell>
          <cell r="X131" t="str">
            <v>3.4.5  COMUNIDAD AUTÓNOMA DEL PAÍS VASCO</v>
          </cell>
          <cell r="Y131" t="str">
            <v xml:space="preserve">              Servicio Vasco de Salud</v>
          </cell>
        </row>
        <row r="132">
          <cell r="R132">
            <v>130</v>
          </cell>
          <cell r="S132" t="str">
            <v>*</v>
          </cell>
          <cell r="T132" t="str">
            <v>PAIS VASCO</v>
          </cell>
          <cell r="U132" t="str">
            <v>OSATEK</v>
          </cell>
          <cell r="V132" t="str">
            <v>2.4 COMUNIDADES AUTÓNOMAS TRANSFERIDAS</v>
          </cell>
          <cell r="W132" t="str">
            <v>3.4 COMUNIDADES AUTÓNOMAS TRANSFERIDAS</v>
          </cell>
          <cell r="X132" t="str">
            <v>3.4.5  COMUNIDAD AUTÓNOMA DEL PAÍS VASCO</v>
          </cell>
          <cell r="Y132" t="str">
            <v xml:space="preserve">              Tecnología Sanitaria de Euskadi</v>
          </cell>
        </row>
        <row r="133">
          <cell r="I133" t="str">
            <v>AÑO</v>
          </cell>
          <cell r="J133" t="str">
            <v>GRUPO</v>
          </cell>
          <cell r="K133" t="str">
            <v>SECTOR</v>
          </cell>
          <cell r="L133" t="str">
            <v>AGGTO</v>
          </cell>
          <cell r="M133" t="str">
            <v>CLASF</v>
          </cell>
          <cell r="N133" t="str">
            <v>CLASE</v>
          </cell>
          <cell r="O133" t="str">
            <v>TRIN</v>
          </cell>
          <cell r="R133">
            <v>131</v>
          </cell>
          <cell r="S133" t="str">
            <v>*</v>
          </cell>
          <cell r="T133" t="str">
            <v>PAIS VASCO</v>
          </cell>
          <cell r="U133" t="str">
            <v>D.Drogodependencias</v>
          </cell>
          <cell r="V133" t="str">
            <v>2.4 COMUNIDADES AUTÓNOMAS TRANSFERIDAS</v>
          </cell>
          <cell r="W133" t="str">
            <v>3.4 COMUNIDADES AUTÓNOMAS TRANSFERIDAS</v>
          </cell>
          <cell r="X133" t="str">
            <v>3.4.5  COMUNIDAD AUTÓNOMA DEL PAÍS VASCO</v>
          </cell>
          <cell r="Y133" t="str">
            <v xml:space="preserve">              D.Drogodependencias.</v>
          </cell>
        </row>
        <row r="134">
          <cell r="I134">
            <v>2003</v>
          </cell>
          <cell r="J134" t="str">
            <v>*</v>
          </cell>
          <cell r="K134" t="str">
            <v>CANTABRIA</v>
          </cell>
          <cell r="L134" t="str">
            <v>*</v>
          </cell>
          <cell r="M134">
            <v>1.4</v>
          </cell>
          <cell r="N134" t="str">
            <v>B</v>
          </cell>
          <cell r="R134">
            <v>132</v>
          </cell>
          <cell r="S134" t="str">
            <v>*</v>
          </cell>
          <cell r="T134" t="str">
            <v>LA RIOJA</v>
          </cell>
          <cell r="U134" t="str">
            <v>*</v>
          </cell>
          <cell r="V134" t="str">
            <v>2.4 COMUNIDADES AUTÓNOMAS TRANSFERIDAS</v>
          </cell>
          <cell r="W134" t="str">
            <v>3.4 COMUNIDADES AUTÓNOMAS TRANSFERIDAS</v>
          </cell>
          <cell r="X134" t="str">
            <v>3.5.8  COMUNIDAD AUTÓNOMA DE LA RIOJA</v>
          </cell>
          <cell r="Y134" t="str">
            <v xml:space="preserve">      COMUNIDAD AUTÓNOMA DE LA RIOJA</v>
          </cell>
        </row>
        <row r="135">
          <cell r="R135">
            <v>133</v>
          </cell>
          <cell r="S135" t="str">
            <v>*</v>
          </cell>
          <cell r="T135" t="str">
            <v>LA RIOJA</v>
          </cell>
          <cell r="U135" t="str">
            <v>SCBS</v>
          </cell>
          <cell r="V135" t="str">
            <v>2.4 COMUNIDADES AUTÓNOMAS TRANSFERIDAS</v>
          </cell>
          <cell r="W135" t="str">
            <v>3.4 COMUNIDADES AUTÓNOMAS TRANSFERIDAS</v>
          </cell>
          <cell r="X135" t="str">
            <v>3.5.8  COMUNIDAD AUTÓNOMA DE LA RIOJA</v>
          </cell>
          <cell r="Y135" t="str">
            <v xml:space="preserve">               Consejeria de Salud, Consumo y B.Social</v>
          </cell>
        </row>
        <row r="136">
          <cell r="A136" t="str">
            <v>AÑO</v>
          </cell>
          <cell r="B136" t="str">
            <v>GRUPO</v>
          </cell>
          <cell r="C136" t="str">
            <v>SECTOR</v>
          </cell>
          <cell r="D136" t="str">
            <v>AGGTO</v>
          </cell>
          <cell r="E136" t="str">
            <v>CLASF</v>
          </cell>
          <cell r="F136" t="str">
            <v>TRIN</v>
          </cell>
          <cell r="I136" t="str">
            <v>AÑO</v>
          </cell>
          <cell r="J136" t="str">
            <v>GRUPO</v>
          </cell>
          <cell r="K136" t="str">
            <v>SECTOR</v>
          </cell>
          <cell r="L136" t="str">
            <v>AGGTO</v>
          </cell>
          <cell r="M136" t="str">
            <v>CLASF</v>
          </cell>
          <cell r="N136" t="str">
            <v>CLASE</v>
          </cell>
          <cell r="O136" t="str">
            <v>TRIN</v>
          </cell>
          <cell r="R136">
            <v>134</v>
          </cell>
          <cell r="S136" t="str">
            <v>*</v>
          </cell>
          <cell r="T136" t="str">
            <v>LA RIOJA</v>
          </cell>
          <cell r="U136" t="str">
            <v>SVRIOJA</v>
          </cell>
          <cell r="V136" t="str">
            <v>2.4 COMUNIDADES AUTÓNOMAS TRANSFERIDAS</v>
          </cell>
          <cell r="W136" t="str">
            <v>3.4 COMUNIDADES AUTÓNOMAS TRANSFERIDAS</v>
          </cell>
          <cell r="X136" t="str">
            <v>3.5.8  COMUNIDAD AUTÓNOMA DE LA RIOJA</v>
          </cell>
          <cell r="Y136" t="str">
            <v xml:space="preserve">               Servicio Riojano de Salud</v>
          </cell>
        </row>
        <row r="137">
          <cell r="A137">
            <v>2002</v>
          </cell>
          <cell r="B137" t="str">
            <v>*</v>
          </cell>
          <cell r="C137" t="str">
            <v>CANTABRIA</v>
          </cell>
          <cell r="D137" t="str">
            <v>*</v>
          </cell>
          <cell r="E137">
            <v>2.1</v>
          </cell>
          <cell r="I137">
            <v>2003</v>
          </cell>
          <cell r="J137" t="str">
            <v>*</v>
          </cell>
          <cell r="K137" t="str">
            <v>CANTABRIA</v>
          </cell>
          <cell r="L137" t="str">
            <v>*</v>
          </cell>
          <cell r="M137">
            <v>1.4</v>
          </cell>
          <cell r="N137" t="str">
            <v>C</v>
          </cell>
          <cell r="R137">
            <v>135</v>
          </cell>
          <cell r="S137" t="str">
            <v>*</v>
          </cell>
          <cell r="T137" t="str">
            <v>LA RIOJA</v>
          </cell>
          <cell r="U137" t="str">
            <v>CALAH</v>
          </cell>
          <cell r="V137" t="str">
            <v>2.4 COMUNIDADES AUTÓNOMAS TRANSFERIDAS</v>
          </cell>
          <cell r="W137" t="str">
            <v>3.4 COMUNIDADES AUTÓNOMAS TRANSFERIDAS</v>
          </cell>
          <cell r="X137" t="str">
            <v>3.5.8  COMUNIDAD AUTÓNOMA DE LA RIOJA</v>
          </cell>
          <cell r="Y137" t="str">
            <v xml:space="preserve">               Fundación Hospital de Calahorra</v>
          </cell>
        </row>
        <row r="138">
          <cell r="A138" t="str">
            <v>AÑO</v>
          </cell>
          <cell r="B138" t="str">
            <v>GRUPO</v>
          </cell>
          <cell r="C138" t="str">
            <v>SECTOR</v>
          </cell>
          <cell r="D138" t="str">
            <v>AGGTO</v>
          </cell>
          <cell r="E138" t="str">
            <v>CLASF</v>
          </cell>
          <cell r="F138" t="str">
            <v>TRIN</v>
          </cell>
          <cell r="R138">
            <v>136</v>
          </cell>
          <cell r="S138" t="str">
            <v>*</v>
          </cell>
          <cell r="T138" t="str">
            <v>LA RIOJA</v>
          </cell>
          <cell r="U138" t="str">
            <v>F.RIOJA SALUD</v>
          </cell>
          <cell r="V138" t="str">
            <v>2.4 COMUNIDADES AUTÓNOMAS TRANSFERIDAS</v>
          </cell>
          <cell r="W138" t="str">
            <v>3.4 COMUNIDADES AUTÓNOMAS TRANSFERIDAS</v>
          </cell>
          <cell r="X138" t="str">
            <v>3.5.8  COMUNIDAD AUTÓNOMA DE LA RIOJA</v>
          </cell>
          <cell r="Y138" t="str">
            <v xml:space="preserve">               Fundación Rioja Salud</v>
          </cell>
        </row>
        <row r="139">
          <cell r="A139">
            <v>2002</v>
          </cell>
          <cell r="B139" t="str">
            <v>*</v>
          </cell>
          <cell r="C139" t="str">
            <v>CANTABRIA</v>
          </cell>
          <cell r="D139" t="str">
            <v>*</v>
          </cell>
          <cell r="E139">
            <v>2.2000000000000002</v>
          </cell>
          <cell r="I139" t="str">
            <v>AÑO</v>
          </cell>
          <cell r="J139" t="str">
            <v>GRUPO</v>
          </cell>
          <cell r="K139" t="str">
            <v>SECTOR</v>
          </cell>
          <cell r="L139" t="str">
            <v>AGGTO</v>
          </cell>
          <cell r="M139" t="str">
            <v>CLASF</v>
          </cell>
          <cell r="N139" t="str">
            <v>CLASE</v>
          </cell>
          <cell r="O139" t="str">
            <v>TRIN</v>
          </cell>
          <cell r="R139">
            <v>137</v>
          </cell>
          <cell r="S139" t="str">
            <v>*</v>
          </cell>
          <cell r="T139" t="str">
            <v>LA RIOJA</v>
          </cell>
          <cell r="U139" t="str">
            <v>INGESA</v>
          </cell>
          <cell r="V139" t="str">
            <v>2.4 COMUNIDADES AUTÓNOMAS TRANSFERIDAS</v>
          </cell>
          <cell r="W139" t="str">
            <v>3.4 COMUNIDADES AUTÓNOMAS TRANSFERIDAS</v>
          </cell>
          <cell r="X139" t="str">
            <v>3.5.8  COMUNIDAD AUTÓNOMA DE LA RIOJA</v>
          </cell>
          <cell r="Y139" t="str">
            <v xml:space="preserve">             Ingesa.Período transitorio</v>
          </cell>
        </row>
        <row r="140">
          <cell r="A140" t="str">
            <v>AÑO</v>
          </cell>
          <cell r="B140" t="str">
            <v>GRUPO</v>
          </cell>
          <cell r="C140" t="str">
            <v>SECTOR</v>
          </cell>
          <cell r="D140" t="str">
            <v>AGGTO</v>
          </cell>
          <cell r="E140" t="str">
            <v>CLASF</v>
          </cell>
          <cell r="F140" t="str">
            <v>TRIN</v>
          </cell>
          <cell r="I140">
            <v>2004</v>
          </cell>
          <cell r="J140" t="str">
            <v>*</v>
          </cell>
          <cell r="K140" t="str">
            <v>CANTABRIA</v>
          </cell>
          <cell r="L140" t="str">
            <v>*</v>
          </cell>
          <cell r="M140">
            <v>1.4</v>
          </cell>
          <cell r="N140" t="str">
            <v>A</v>
          </cell>
          <cell r="R140">
            <v>138</v>
          </cell>
          <cell r="S140" t="str">
            <v>AUT</v>
          </cell>
          <cell r="T140" t="str">
            <v>*</v>
          </cell>
          <cell r="U140" t="str">
            <v>*</v>
          </cell>
          <cell r="V140" t="str">
            <v>2.5  CIUDADES  AUTÓNOMAS NO TRANSFERIDAS</v>
          </cell>
          <cell r="W140" t="str">
            <v>2.5  CIUDADES  AUTÓNOMAS NO TRANSFERIDAS</v>
          </cell>
          <cell r="X140" t="str">
            <v>3.5.0 CIUDADES AUTÓNOMAS NO TRANSFERIDAS</v>
          </cell>
          <cell r="Y140" t="str">
            <v xml:space="preserve"> CIUDADES  AUTÓNOMAS NO TRANSFERIDAS</v>
          </cell>
        </row>
        <row r="141">
          <cell r="A141">
            <v>2002</v>
          </cell>
          <cell r="B141" t="str">
            <v>*</v>
          </cell>
          <cell r="C141" t="str">
            <v>CANTABRIA</v>
          </cell>
          <cell r="D141" t="str">
            <v>*</v>
          </cell>
          <cell r="E141">
            <v>2.2999999999999998</v>
          </cell>
          <cell r="R141">
            <v>139</v>
          </cell>
          <cell r="S141" t="str">
            <v>*</v>
          </cell>
          <cell r="T141" t="str">
            <v>CEUTA</v>
          </cell>
          <cell r="U141" t="str">
            <v>*</v>
          </cell>
          <cell r="V141" t="str">
            <v>2.5  CIUDADES  AUTÓNOMAS NO TRANSFERIDAS</v>
          </cell>
          <cell r="W141" t="str">
            <v>2.5  CIUDADES  AUTÓNOMAS NO TRANSFERIDAS</v>
          </cell>
          <cell r="X141" t="str">
            <v>3.5.11  CIUDAD AUTÓNOMA DE CEUTA</v>
          </cell>
          <cell r="Y141" t="str">
            <v xml:space="preserve">      CEUTA.- TERRITORIALIZADO</v>
          </cell>
        </row>
        <row r="142">
          <cell r="A142" t="str">
            <v>AÑO</v>
          </cell>
          <cell r="B142" t="str">
            <v>GRUPO</v>
          </cell>
          <cell r="C142" t="str">
            <v>SECTOR</v>
          </cell>
          <cell r="D142" t="str">
            <v>AGGTO</v>
          </cell>
          <cell r="E142" t="str">
            <v>CLASF</v>
          </cell>
          <cell r="F142" t="str">
            <v>TRIN</v>
          </cell>
          <cell r="I142" t="str">
            <v>AÑO</v>
          </cell>
          <cell r="J142" t="str">
            <v>GRUPO</v>
          </cell>
          <cell r="K142" t="str">
            <v>SECTOR</v>
          </cell>
          <cell r="L142" t="str">
            <v>AGGTO</v>
          </cell>
          <cell r="M142" t="str">
            <v>CLASF</v>
          </cell>
          <cell r="N142" t="str">
            <v>CLASE</v>
          </cell>
          <cell r="O142" t="str">
            <v>TRIN</v>
          </cell>
          <cell r="R142">
            <v>140</v>
          </cell>
          <cell r="S142" t="str">
            <v>AUT</v>
          </cell>
          <cell r="T142" t="str">
            <v>CEUTA</v>
          </cell>
          <cell r="U142" t="str">
            <v>CSCD</v>
          </cell>
          <cell r="V142" t="str">
            <v>2.5  CIUDADES  AUTÓNOMAS NO TRANSFERIDAS</v>
          </cell>
          <cell r="W142" t="str">
            <v>2.5  CIUDADES  AUTÓNOMAS NO TRANSFERIDAS</v>
          </cell>
          <cell r="X142" t="str">
            <v>3.5.11  CIUDAD AUTÓNOMA DE CEUTA</v>
          </cell>
          <cell r="Y142" t="str">
            <v xml:space="preserve">      CIUDAD AUTÓNOMA DE CEUTA</v>
          </cell>
        </row>
        <row r="143">
          <cell r="A143">
            <v>2002</v>
          </cell>
          <cell r="B143" t="str">
            <v>*</v>
          </cell>
          <cell r="C143" t="str">
            <v>CANTABRIA</v>
          </cell>
          <cell r="D143" t="str">
            <v>*</v>
          </cell>
          <cell r="E143">
            <v>2.4</v>
          </cell>
          <cell r="I143">
            <v>2004</v>
          </cell>
          <cell r="J143" t="str">
            <v>*</v>
          </cell>
          <cell r="K143" t="str">
            <v>CANTABRIA</v>
          </cell>
          <cell r="L143" t="str">
            <v>*</v>
          </cell>
          <cell r="M143">
            <v>1.4</v>
          </cell>
          <cell r="N143" t="str">
            <v>B</v>
          </cell>
          <cell r="R143">
            <v>141</v>
          </cell>
          <cell r="S143" t="str">
            <v>SSS</v>
          </cell>
          <cell r="T143" t="str">
            <v>CEUTA</v>
          </cell>
          <cell r="U143" t="str">
            <v>INGESA</v>
          </cell>
          <cell r="V143" t="str">
            <v>2.5  CIUDADES  AUTÓNOMAS NO TRANSFERIDAS</v>
          </cell>
          <cell r="W143" t="str">
            <v>2.5  CIUDADES  AUTÓNOMAS NO TRANSFERIDAS</v>
          </cell>
          <cell r="X143" t="str">
            <v>3.5.11  CIUDAD AUTÓNOMA DE CEUTA</v>
          </cell>
          <cell r="Y143" t="str">
            <v xml:space="preserve">             CEUTA.-Ingesa.</v>
          </cell>
        </row>
        <row r="144">
          <cell r="A144" t="str">
            <v>AÑO</v>
          </cell>
          <cell r="B144" t="str">
            <v>GRUPO</v>
          </cell>
          <cell r="C144" t="str">
            <v>SECTOR</v>
          </cell>
          <cell r="D144" t="str">
            <v>AGGTO</v>
          </cell>
          <cell r="E144" t="str">
            <v>CLASF</v>
          </cell>
          <cell r="F144" t="str">
            <v>TRIN</v>
          </cell>
          <cell r="R144">
            <v>142</v>
          </cell>
          <cell r="S144" t="str">
            <v>*</v>
          </cell>
          <cell r="T144" t="str">
            <v>MELILLA</v>
          </cell>
          <cell r="U144" t="str">
            <v>*</v>
          </cell>
          <cell r="V144" t="str">
            <v>2.5  CIUDADES  AUTÓNOMAS NO TRANSFERIDAS</v>
          </cell>
          <cell r="W144" t="str">
            <v>2.5  CIUDADES  AUTÓNOMAS NO TRANSFERIDAS</v>
          </cell>
          <cell r="X144" t="str">
            <v>3.5.12  CIUDAD AUTÓNOMA DE MELILLA</v>
          </cell>
          <cell r="Y144" t="str">
            <v xml:space="preserve">      MELILLA TERRITORIALIZADO</v>
          </cell>
        </row>
        <row r="145">
          <cell r="A145">
            <v>2002</v>
          </cell>
          <cell r="B145" t="str">
            <v>*</v>
          </cell>
          <cell r="C145" t="str">
            <v>CANTABRIA</v>
          </cell>
          <cell r="D145" t="str">
            <v>*</v>
          </cell>
          <cell r="E145">
            <v>2.5</v>
          </cell>
          <cell r="I145" t="str">
            <v>AÑO</v>
          </cell>
          <cell r="J145" t="str">
            <v>GRUPO</v>
          </cell>
          <cell r="K145" t="str">
            <v>SECTOR</v>
          </cell>
          <cell r="L145" t="str">
            <v>AGGTO</v>
          </cell>
          <cell r="M145" t="str">
            <v>CLASF</v>
          </cell>
          <cell r="N145" t="str">
            <v>CLASE</v>
          </cell>
          <cell r="O145" t="str">
            <v>TRIN</v>
          </cell>
          <cell r="R145">
            <v>143</v>
          </cell>
          <cell r="S145" t="str">
            <v>AUT</v>
          </cell>
          <cell r="T145" t="str">
            <v>MELILLA</v>
          </cell>
          <cell r="U145" t="str">
            <v>CMBSS</v>
          </cell>
          <cell r="V145" t="str">
            <v>2.5  CIUDADES  AUTÓNOMAS NO TRANSFERIDAS</v>
          </cell>
          <cell r="W145" t="str">
            <v>2.5  CIUDADES  AUTÓNOMAS NO TRANSFERIDAS</v>
          </cell>
          <cell r="X145" t="str">
            <v>3.5.12  CIUDAD AUTÓNOMA DE MELILLA</v>
          </cell>
          <cell r="Y145" t="str">
            <v xml:space="preserve">      CIUDAD AUTÓNOMA DE MELILLA</v>
          </cell>
        </row>
        <row r="146">
          <cell r="A146" t="str">
            <v>AÑO</v>
          </cell>
          <cell r="B146" t="str">
            <v>GRUPO</v>
          </cell>
          <cell r="C146" t="str">
            <v>SECTOR</v>
          </cell>
          <cell r="D146" t="str">
            <v>AGGTO</v>
          </cell>
          <cell r="E146" t="str">
            <v>CLASF</v>
          </cell>
          <cell r="F146" t="str">
            <v>TRIN</v>
          </cell>
          <cell r="I146">
            <v>2004</v>
          </cell>
          <cell r="J146" t="str">
            <v>*</v>
          </cell>
          <cell r="K146" t="str">
            <v>CANTABRIA</v>
          </cell>
          <cell r="L146" t="str">
            <v>*</v>
          </cell>
          <cell r="M146">
            <v>1.4</v>
          </cell>
          <cell r="N146" t="str">
            <v>C</v>
          </cell>
          <cell r="R146">
            <v>144</v>
          </cell>
          <cell r="S146" t="str">
            <v>SSS</v>
          </cell>
          <cell r="T146" t="str">
            <v>MELILLA</v>
          </cell>
          <cell r="U146" t="str">
            <v>INGESA</v>
          </cell>
          <cell r="V146" t="str">
            <v>2.5  CIUDADES  AUTÓNOMAS NO TRANSFERIDAS</v>
          </cell>
          <cell r="W146" t="str">
            <v>2.5  CIUDADES  AUTÓNOMAS NO TRANSFERIDAS</v>
          </cell>
          <cell r="X146" t="str">
            <v>3.5.12  CIUDAD AUTÓNOMA DE MELILLA</v>
          </cell>
          <cell r="Y146" t="str">
            <v xml:space="preserve">             MELILLA.-Ingesa.</v>
          </cell>
        </row>
        <row r="147">
          <cell r="A147">
            <v>2002</v>
          </cell>
          <cell r="B147" t="str">
            <v>*</v>
          </cell>
          <cell r="C147" t="str">
            <v>CANTABRIA</v>
          </cell>
          <cell r="D147" t="str">
            <v>*</v>
          </cell>
          <cell r="E147">
            <v>3.1</v>
          </cell>
          <cell r="F147" t="str">
            <v>NC</v>
          </cell>
          <cell r="R147">
            <v>145</v>
          </cell>
          <cell r="S147" t="str">
            <v>SSS</v>
          </cell>
          <cell r="T147" t="str">
            <v>*</v>
          </cell>
          <cell r="U147" t="str">
            <v>*</v>
          </cell>
          <cell r="V147" t="str">
            <v>2.2  SISTEMA DE SEGURIDAD SOCIAL</v>
          </cell>
          <cell r="W147" t="str">
            <v>3.2  SISTEMA DE SEGURIDAD SOCIAL</v>
          </cell>
          <cell r="X147" t="str">
            <v>3.2.0 SISTEMA DE SEGURIDAD SOCIAL</v>
          </cell>
          <cell r="Y147" t="str">
            <v>SISTEMA DE SEGURIDAD SOCIAL</v>
          </cell>
        </row>
        <row r="148">
          <cell r="A148" t="str">
            <v>AÑO</v>
          </cell>
          <cell r="B148" t="str">
            <v>GRUPO</v>
          </cell>
          <cell r="C148" t="str">
            <v>SECTOR</v>
          </cell>
          <cell r="D148" t="str">
            <v>AGGTO</v>
          </cell>
          <cell r="E148" t="str">
            <v>CLASF</v>
          </cell>
          <cell r="F148" t="str">
            <v>TRIN</v>
          </cell>
          <cell r="I148" t="str">
            <v>AÑO</v>
          </cell>
          <cell r="J148" t="str">
            <v>GRUPO</v>
          </cell>
          <cell r="K148" t="str">
            <v>SECTOR</v>
          </cell>
          <cell r="L148" t="str">
            <v>AGGTO</v>
          </cell>
          <cell r="M148" t="str">
            <v>CLASF</v>
          </cell>
          <cell r="N148" t="str">
            <v>CLASE</v>
          </cell>
          <cell r="O148" t="str">
            <v>TRIN</v>
          </cell>
          <cell r="R148">
            <v>146</v>
          </cell>
          <cell r="S148" t="str">
            <v>SSS</v>
          </cell>
          <cell r="T148" t="str">
            <v>INSA</v>
          </cell>
          <cell r="U148" t="str">
            <v>INSA</v>
          </cell>
          <cell r="V148" t="str">
            <v>2.2  SISTEMA DE SEGURIDAD SOCIAL</v>
          </cell>
          <cell r="W148" t="str">
            <v>3.2  SISTEMA DE SEGURIDAD SOCIAL</v>
          </cell>
          <cell r="X148" t="str">
            <v>3.2.1  INSTITUTO NACIONAL DE LA SALUD</v>
          </cell>
          <cell r="Y148" t="str">
            <v xml:space="preserve">              Instituto Nacional de la Salud</v>
          </cell>
        </row>
        <row r="149">
          <cell r="A149">
            <v>2002</v>
          </cell>
          <cell r="B149" t="str">
            <v>*</v>
          </cell>
          <cell r="C149" t="str">
            <v>CANTABRIA</v>
          </cell>
          <cell r="D149" t="str">
            <v>*</v>
          </cell>
          <cell r="E149">
            <v>3.2</v>
          </cell>
          <cell r="F149" t="str">
            <v>NC</v>
          </cell>
          <cell r="I149">
            <v>2005</v>
          </cell>
          <cell r="J149" t="str">
            <v>*</v>
          </cell>
          <cell r="K149" t="str">
            <v>CANTABRIA</v>
          </cell>
          <cell r="L149" t="str">
            <v>*</v>
          </cell>
          <cell r="M149">
            <v>1.4</v>
          </cell>
          <cell r="N149" t="str">
            <v>A</v>
          </cell>
          <cell r="R149">
            <v>147</v>
          </cell>
          <cell r="S149" t="str">
            <v>SSS</v>
          </cell>
          <cell r="T149" t="str">
            <v>*</v>
          </cell>
          <cell r="U149" t="str">
            <v>INGESA</v>
          </cell>
          <cell r="V149" t="str">
            <v>2.2  SISTEMA DE SEGURIDAD SOCIAL</v>
          </cell>
          <cell r="W149" t="str">
            <v>3.2  SISTEMA DE SEGURIDAD SOCIAL</v>
          </cell>
          <cell r="X149" t="str">
            <v>3.2.1  INSTITUTO NACIONAL DE GESTION SANITARIA</v>
          </cell>
          <cell r="Y149" t="str">
            <v xml:space="preserve">              Instituto Nacional de Gestión Sanitaria</v>
          </cell>
        </row>
        <row r="150">
          <cell r="A150" t="str">
            <v>AÑO</v>
          </cell>
          <cell r="B150" t="str">
            <v>GRUPO</v>
          </cell>
          <cell r="C150" t="str">
            <v>SECTOR</v>
          </cell>
          <cell r="D150" t="str">
            <v>AGGTO</v>
          </cell>
          <cell r="E150" t="str">
            <v>CLASF</v>
          </cell>
          <cell r="F150" t="str">
            <v>TRIN</v>
          </cell>
          <cell r="R150">
            <v>148</v>
          </cell>
          <cell r="S150" t="str">
            <v>SSS</v>
          </cell>
          <cell r="T150" t="str">
            <v>ISM</v>
          </cell>
          <cell r="U150" t="str">
            <v>ISM</v>
          </cell>
          <cell r="V150" t="str">
            <v>2.2  SISTEMA DE SEGURIDAD SOCIAL</v>
          </cell>
          <cell r="W150" t="str">
            <v>3.2  SISTEMA DE SEGURIDAD SOCIAL</v>
          </cell>
          <cell r="X150" t="str">
            <v>3.2.2  INSTITUTO SOCIAL DE LA MARINA</v>
          </cell>
          <cell r="Y150" t="str">
            <v xml:space="preserve">              Instituto Social de la Marina</v>
          </cell>
        </row>
        <row r="151">
          <cell r="A151">
            <v>2002</v>
          </cell>
          <cell r="B151" t="str">
            <v>*</v>
          </cell>
          <cell r="C151" t="str">
            <v>CANTABRIA</v>
          </cell>
          <cell r="D151" t="str">
            <v>*</v>
          </cell>
          <cell r="E151">
            <v>3.3</v>
          </cell>
          <cell r="I151" t="str">
            <v>AÑO</v>
          </cell>
          <cell r="J151" t="str">
            <v>GRUPO</v>
          </cell>
          <cell r="K151" t="str">
            <v>SECTOR</v>
          </cell>
          <cell r="L151" t="str">
            <v>AGGTO</v>
          </cell>
          <cell r="M151" t="str">
            <v>CLASF</v>
          </cell>
          <cell r="N151" t="str">
            <v>CLASE</v>
          </cell>
          <cell r="O151" t="str">
            <v>TRIN</v>
          </cell>
          <cell r="R151">
            <v>149</v>
          </cell>
          <cell r="S151" t="str">
            <v>SSS</v>
          </cell>
          <cell r="T151" t="str">
            <v>MPAT</v>
          </cell>
          <cell r="U151" t="str">
            <v>MPAT</v>
          </cell>
          <cell r="V151" t="str">
            <v>2.2  SISTEMA DE SEGURIDAD SOCIAL</v>
          </cell>
          <cell r="W151" t="str">
            <v>3.2  SISTEMA DE SEGURIDAD SOCIAL</v>
          </cell>
          <cell r="X151" t="str">
            <v>3.2.3  MUTUAS PATRONALES DE ACCIDENTES DE TRABAJO</v>
          </cell>
          <cell r="Y151" t="str">
            <v xml:space="preserve">              Mutuas de Accidentes de Trabajo</v>
          </cell>
        </row>
        <row r="152">
          <cell r="A152" t="str">
            <v>AÑO</v>
          </cell>
          <cell r="B152" t="str">
            <v>GRUPO</v>
          </cell>
          <cell r="C152" t="str">
            <v>SECTOR</v>
          </cell>
          <cell r="D152" t="str">
            <v>AGGTO</v>
          </cell>
          <cell r="E152" t="str">
            <v>CLASF</v>
          </cell>
          <cell r="F152" t="str">
            <v>TRIN</v>
          </cell>
          <cell r="I152">
            <v>2005</v>
          </cell>
          <cell r="J152" t="str">
            <v>*</v>
          </cell>
          <cell r="K152" t="str">
            <v>CANTABRIA</v>
          </cell>
          <cell r="L152" t="str">
            <v>*</v>
          </cell>
          <cell r="M152">
            <v>1.4</v>
          </cell>
          <cell r="N152" t="str">
            <v>B</v>
          </cell>
          <cell r="R152">
            <v>150</v>
          </cell>
          <cell r="S152" t="str">
            <v>SSS</v>
          </cell>
          <cell r="T152" t="str">
            <v>FUND</v>
          </cell>
          <cell r="U152" t="str">
            <v>*</v>
          </cell>
          <cell r="V152" t="str">
            <v>2.2  SISTEMA DE SEGURIDAD SOCIAL</v>
          </cell>
          <cell r="W152" t="str">
            <v>3.2  SISTEMA DE SEGURIDAD SOCIAL</v>
          </cell>
          <cell r="X152" t="str">
            <v>3.2.4 FUNDACIÓNES PÚBLICAS SANITARIAS</v>
          </cell>
          <cell r="Y152" t="str">
            <v xml:space="preserve">              Fundaciones Públicas Sanitarias</v>
          </cell>
        </row>
        <row r="153">
          <cell r="A153">
            <v>2002</v>
          </cell>
          <cell r="B153" t="str">
            <v>*</v>
          </cell>
          <cell r="C153" t="str">
            <v>CANTABRIA</v>
          </cell>
          <cell r="D153" t="str">
            <v>*</v>
          </cell>
          <cell r="E153">
            <v>3.4</v>
          </cell>
          <cell r="R153">
            <v>151</v>
          </cell>
          <cell r="S153" t="str">
            <v>SSS</v>
          </cell>
          <cell r="T153" t="str">
            <v>FUND</v>
          </cell>
          <cell r="U153" t="str">
            <v>MANA</v>
          </cell>
          <cell r="V153" t="str">
            <v>2.2  SISTEMA DE SEGURIDAD SOCIAL</v>
          </cell>
          <cell r="W153" t="str">
            <v>3.2  SISTEMA DE SEGURIDAD SOCIAL</v>
          </cell>
          <cell r="X153" t="str">
            <v>3.2.4 FUNDACIÓNES PÚBLICAS SANITARIAS</v>
          </cell>
          <cell r="Y153" t="str">
            <v xml:space="preserve">                    Fundación Hospital de Manacor</v>
          </cell>
        </row>
        <row r="154">
          <cell r="A154" t="str">
            <v>AÑO</v>
          </cell>
          <cell r="B154" t="str">
            <v>GRUPO</v>
          </cell>
          <cell r="C154" t="str">
            <v>SECTOR</v>
          </cell>
          <cell r="D154" t="str">
            <v>AGGTO</v>
          </cell>
          <cell r="E154" t="str">
            <v>CLASF</v>
          </cell>
          <cell r="F154" t="str">
            <v>TRIN</v>
          </cell>
          <cell r="I154" t="str">
            <v>AÑO</v>
          </cell>
          <cell r="J154" t="str">
            <v>GRUPO</v>
          </cell>
          <cell r="K154" t="str">
            <v>SECTOR</v>
          </cell>
          <cell r="L154" t="str">
            <v>AGGTO</v>
          </cell>
          <cell r="M154" t="str">
            <v>CLASF</v>
          </cell>
          <cell r="N154" t="str">
            <v>CLASE</v>
          </cell>
          <cell r="O154" t="str">
            <v>TRIN</v>
          </cell>
          <cell r="R154">
            <v>152</v>
          </cell>
          <cell r="S154" t="str">
            <v>SSS</v>
          </cell>
          <cell r="T154" t="str">
            <v>FUND</v>
          </cell>
          <cell r="U154" t="str">
            <v>ALCOR</v>
          </cell>
          <cell r="V154" t="str">
            <v>2.2  SISTEMA DE SEGURIDAD SOCIAL</v>
          </cell>
          <cell r="W154" t="str">
            <v>3.2  SISTEMA DE SEGURIDAD SOCIAL</v>
          </cell>
          <cell r="X154" t="str">
            <v>3.2.4 FUNDACIÓNES PÚBLICAS SANITARIAS</v>
          </cell>
          <cell r="Y154" t="str">
            <v xml:space="preserve">                    Fundación Hospital de Alcorcón</v>
          </cell>
        </row>
        <row r="155">
          <cell r="A155">
            <v>2002</v>
          </cell>
          <cell r="B155" t="str">
            <v>*</v>
          </cell>
          <cell r="C155" t="str">
            <v>CANTABRIA</v>
          </cell>
          <cell r="D155" t="str">
            <v>*</v>
          </cell>
          <cell r="E155">
            <v>5.0999999999999996</v>
          </cell>
          <cell r="I155">
            <v>2005</v>
          </cell>
          <cell r="J155" t="str">
            <v>*</v>
          </cell>
          <cell r="K155" t="str">
            <v>CANTABRIA</v>
          </cell>
          <cell r="L155" t="str">
            <v>*</v>
          </cell>
          <cell r="M155">
            <v>1.4</v>
          </cell>
          <cell r="N155" t="str">
            <v>C</v>
          </cell>
          <cell r="R155">
            <v>153</v>
          </cell>
          <cell r="S155" t="str">
            <v>SSS</v>
          </cell>
          <cell r="T155" t="str">
            <v>FUND</v>
          </cell>
          <cell r="U155" t="str">
            <v>CALAH</v>
          </cell>
          <cell r="V155" t="str">
            <v>2.2  SISTEMA DE SEGURIDAD SOCIAL</v>
          </cell>
          <cell r="W155" t="str">
            <v>3.2  SISTEMA DE SEGURIDAD SOCIAL</v>
          </cell>
          <cell r="X155" t="str">
            <v>3.2.4 FUNDACIÓNES PÚBLICAS SANITARIAS</v>
          </cell>
          <cell r="Y155" t="str">
            <v xml:space="preserve">                    Fundación Hospital de Calahorra</v>
          </cell>
        </row>
        <row r="156">
          <cell r="R156">
            <v>154</v>
          </cell>
          <cell r="S156" t="str">
            <v>SSS</v>
          </cell>
          <cell r="T156" t="str">
            <v>FUND</v>
          </cell>
          <cell r="U156" t="str">
            <v>LLATZER</v>
          </cell>
          <cell r="V156" t="str">
            <v>2.2  SISTEMA DE SEGURIDAD SOCIAL</v>
          </cell>
          <cell r="W156" t="str">
            <v>3.2  SISTEMA DE SEGURIDAD SOCIAL</v>
          </cell>
          <cell r="X156" t="str">
            <v>3.2.4 FUNDACIÓNES PÚBLICAS SANITARIAS</v>
          </cell>
          <cell r="Y156" t="str">
            <v xml:space="preserve">                    Fundación Hospital Son Llatzer</v>
          </cell>
        </row>
        <row r="157">
          <cell r="R157">
            <v>155</v>
          </cell>
          <cell r="S157" t="str">
            <v xml:space="preserve">CCLL </v>
          </cell>
          <cell r="T157" t="str">
            <v>*</v>
          </cell>
          <cell r="U157" t="str">
            <v>*</v>
          </cell>
          <cell r="V157" t="str">
            <v>2.6 CORPORACIONES LOCALES</v>
          </cell>
          <cell r="W157" t="str">
            <v>3.6 CORPORACIONES LOCALES</v>
          </cell>
          <cell r="X157" t="str">
            <v>3.6.0  CORPORACIONES LOCALES</v>
          </cell>
          <cell r="Y157" t="str">
            <v>CORPORACIONES LOCALES</v>
          </cell>
        </row>
        <row r="158">
          <cell r="A158" t="str">
            <v>AÑO</v>
          </cell>
          <cell r="B158" t="str">
            <v>GRUPO</v>
          </cell>
          <cell r="C158" t="str">
            <v>SECTOR</v>
          </cell>
          <cell r="D158" t="str">
            <v>AGGTO</v>
          </cell>
          <cell r="E158" t="str">
            <v>CLASF</v>
          </cell>
          <cell r="F158" t="str">
            <v>TRIN</v>
          </cell>
          <cell r="R158">
            <v>156</v>
          </cell>
          <cell r="S158" t="str">
            <v xml:space="preserve">MUT </v>
          </cell>
          <cell r="T158" t="str">
            <v>*</v>
          </cell>
          <cell r="U158" t="str">
            <v>*</v>
          </cell>
          <cell r="V158" t="str">
            <v>2.3  MUTUALIDADES DE FUNCIONARIOS</v>
          </cell>
          <cell r="W158" t="str">
            <v>3.3  MUTUALIDADES DE FUNCIONARIOS</v>
          </cell>
          <cell r="X158" t="str">
            <v>3.3.0 CUENTA SATÉLITE DE LAS MUTUALIDADES DE FUNCIONARIOS</v>
          </cell>
          <cell r="Y158" t="str">
            <v>MUTUALIDADES DE FUNCIONARIOS</v>
          </cell>
        </row>
        <row r="159">
          <cell r="A159">
            <v>2002</v>
          </cell>
          <cell r="B159" t="str">
            <v>*</v>
          </cell>
          <cell r="C159" t="str">
            <v>CANTABRIA</v>
          </cell>
          <cell r="D159" t="str">
            <v>*</v>
          </cell>
          <cell r="E159">
            <v>5.2</v>
          </cell>
          <cell r="F159" t="str">
            <v>NC</v>
          </cell>
          <cell r="R159">
            <v>157</v>
          </cell>
          <cell r="S159" t="str">
            <v xml:space="preserve">MUT </v>
          </cell>
          <cell r="T159" t="str">
            <v xml:space="preserve">ISFAS   </v>
          </cell>
          <cell r="U159" t="str">
            <v xml:space="preserve">ISFAS   </v>
          </cell>
          <cell r="V159" t="str">
            <v>2.3  MUTUALIDADES DE FUNCIONARIOS</v>
          </cell>
          <cell r="W159" t="str">
            <v>3.3  MUTUALIDADES DE FUNCIONARIOS</v>
          </cell>
          <cell r="X159" t="str">
            <v>3.3.1  INSTITUTO SOCIAL DE LAS FUERZAS ARMADAS</v>
          </cell>
          <cell r="Y159" t="str">
            <v xml:space="preserve">              Instituto Social de las Fuerzas Armadas</v>
          </cell>
        </row>
        <row r="160">
          <cell r="A160" t="str">
            <v>AÑO</v>
          </cell>
          <cell r="B160" t="str">
            <v>GRUPO</v>
          </cell>
          <cell r="C160" t="str">
            <v>SECTOR</v>
          </cell>
          <cell r="D160" t="str">
            <v>AGGTO</v>
          </cell>
          <cell r="E160" t="str">
            <v>CLASF</v>
          </cell>
          <cell r="F160" t="str">
            <v>TRIN</v>
          </cell>
          <cell r="R160">
            <v>158</v>
          </cell>
          <cell r="S160" t="str">
            <v xml:space="preserve">MUT </v>
          </cell>
          <cell r="T160" t="str">
            <v>MUFACE</v>
          </cell>
          <cell r="U160" t="str">
            <v>MUFACE</v>
          </cell>
          <cell r="V160" t="str">
            <v>2.3  MUTUALIDADES DE FUNCIONARIOS</v>
          </cell>
          <cell r="W160" t="str">
            <v>3.3  MUTUALIDADES DE FUNCIONARIOS</v>
          </cell>
          <cell r="X160" t="str">
            <v>3.3.2  MUTUALIDAD GENERAL DE FUNCIONARIOS CIVILES</v>
          </cell>
          <cell r="Y160" t="str">
            <v xml:space="preserve">              Mutualidad General de Funcionarios Civiles</v>
          </cell>
        </row>
        <row r="161">
          <cell r="A161">
            <v>2002</v>
          </cell>
          <cell r="B161" t="str">
            <v>*</v>
          </cell>
          <cell r="C161" t="str">
            <v>CANTABRIA</v>
          </cell>
          <cell r="D161" t="str">
            <v>*</v>
          </cell>
          <cell r="E161">
            <v>5.3</v>
          </cell>
          <cell r="R161">
            <v>159</v>
          </cell>
          <cell r="S161" t="str">
            <v xml:space="preserve">MUT </v>
          </cell>
          <cell r="T161" t="str">
            <v>MUGEJU</v>
          </cell>
          <cell r="U161" t="str">
            <v>MUGEJU</v>
          </cell>
          <cell r="V161" t="str">
            <v>2.3  MUTUALIDADES DE FUNCIONARIOS</v>
          </cell>
          <cell r="W161" t="str">
            <v>3.3  MUTUALIDADES DE FUNCIONARIOS</v>
          </cell>
          <cell r="X161" t="str">
            <v>3.3.3  MUTUALIDAD GENERAL JUDICIAL</v>
          </cell>
          <cell r="Y161" t="str">
            <v xml:space="preserve">              Mutualidad General Judicial</v>
          </cell>
        </row>
        <row r="162">
          <cell r="R162">
            <v>160</v>
          </cell>
          <cell r="S162" t="str">
            <v xml:space="preserve">MUT </v>
          </cell>
          <cell r="T162" t="str">
            <v>MUNPAL</v>
          </cell>
          <cell r="U162" t="str">
            <v>MUNPAL</v>
          </cell>
          <cell r="V162" t="str">
            <v>2.3  MUTUALIDADES DE FUNCIONARIOS</v>
          </cell>
          <cell r="W162" t="str">
            <v>3.3  MUTUALIDADES DE FUNCIONARIOS</v>
          </cell>
          <cell r="X162" t="str">
            <v>3.3.4  MUTUALIDAD DE PREVISIÓN DE LA ADMINISTACIÓN LOCAL</v>
          </cell>
          <cell r="Y162" t="str">
            <v xml:space="preserve">              Mutualidad  de Previsión de la Admon. Local</v>
          </cell>
        </row>
        <row r="163">
          <cell r="R163">
            <v>161</v>
          </cell>
          <cell r="S163" t="str">
            <v>*</v>
          </cell>
          <cell r="T163" t="str">
            <v>*</v>
          </cell>
          <cell r="U163" t="str">
            <v>*</v>
          </cell>
          <cell r="V163" t="str">
            <v>1.0  GASTO PÚBLICO EN SANIDAD</v>
          </cell>
          <cell r="W163" t="str">
            <v>1.0  GASTO PÚBLICO EN SANIDAD</v>
          </cell>
          <cell r="X163" t="str">
            <v>1.0 GASTO PÚBLICO EN SANIDAD</v>
          </cell>
          <cell r="Y163" t="str">
            <v>GASTO SANITARIO PÚBLICO TOTAL</v>
          </cell>
        </row>
        <row r="164">
          <cell r="A164" t="str">
            <v>AÑO</v>
          </cell>
          <cell r="B164" t="str">
            <v>GRUPO</v>
          </cell>
          <cell r="C164" t="str">
            <v>SECTOR</v>
          </cell>
          <cell r="D164" t="str">
            <v>AGGTO</v>
          </cell>
          <cell r="E164" t="str">
            <v>CLASF</v>
          </cell>
          <cell r="F164" t="str">
            <v>TRIN</v>
          </cell>
        </row>
        <row r="165">
          <cell r="A165">
            <v>2006</v>
          </cell>
          <cell r="B165" t="str">
            <v>*</v>
          </cell>
          <cell r="C165" t="str">
            <v>CANTABRIA</v>
          </cell>
          <cell r="D165" t="str">
            <v>*</v>
          </cell>
          <cell r="E165">
            <v>2.1</v>
          </cell>
        </row>
        <row r="166">
          <cell r="A166" t="str">
            <v>AÑO</v>
          </cell>
          <cell r="B166" t="str">
            <v>GRUPO</v>
          </cell>
          <cell r="C166" t="str">
            <v>SECTOR</v>
          </cell>
          <cell r="D166" t="str">
            <v>AGGTO</v>
          </cell>
          <cell r="E166" t="str">
            <v>CLASF</v>
          </cell>
          <cell r="F166" t="str">
            <v>TRIN</v>
          </cell>
        </row>
        <row r="167">
          <cell r="A167">
            <v>2006</v>
          </cell>
          <cell r="B167" t="str">
            <v>*</v>
          </cell>
          <cell r="C167" t="str">
            <v>CANTABRIA</v>
          </cell>
          <cell r="D167" t="str">
            <v>*</v>
          </cell>
          <cell r="E167">
            <v>2.2000000000000002</v>
          </cell>
        </row>
        <row r="168">
          <cell r="A168" t="str">
            <v>AÑO</v>
          </cell>
          <cell r="B168" t="str">
            <v>GRUPO</v>
          </cell>
          <cell r="C168" t="str">
            <v>SECTOR</v>
          </cell>
          <cell r="D168" t="str">
            <v>AGGTO</v>
          </cell>
          <cell r="E168" t="str">
            <v>CLASF</v>
          </cell>
          <cell r="F168" t="str">
            <v>TRIN</v>
          </cell>
        </row>
        <row r="169">
          <cell r="A169">
            <v>2006</v>
          </cell>
          <cell r="B169" t="str">
            <v>*</v>
          </cell>
          <cell r="C169" t="str">
            <v>CANTABRIA</v>
          </cell>
          <cell r="D169" t="str">
            <v>*</v>
          </cell>
          <cell r="E169">
            <v>2.2999999999999998</v>
          </cell>
        </row>
        <row r="170">
          <cell r="A170" t="str">
            <v>AÑO</v>
          </cell>
          <cell r="B170" t="str">
            <v>GRUPO</v>
          </cell>
          <cell r="C170" t="str">
            <v>SECTOR</v>
          </cell>
          <cell r="D170" t="str">
            <v>AGGTO</v>
          </cell>
          <cell r="E170" t="str">
            <v>CLASF</v>
          </cell>
          <cell r="F170" t="str">
            <v>TRIN</v>
          </cell>
        </row>
        <row r="171">
          <cell r="A171">
            <v>2006</v>
          </cell>
          <cell r="B171" t="str">
            <v>*</v>
          </cell>
          <cell r="C171" t="str">
            <v>CANTABRIA</v>
          </cell>
          <cell r="D171" t="str">
            <v>*</v>
          </cell>
          <cell r="E171">
            <v>2.4</v>
          </cell>
        </row>
        <row r="172">
          <cell r="A172" t="str">
            <v>AÑO</v>
          </cell>
          <cell r="B172" t="str">
            <v>GRUPO</v>
          </cell>
          <cell r="C172" t="str">
            <v>SECTOR</v>
          </cell>
          <cell r="D172" t="str">
            <v>AGGTO</v>
          </cell>
          <cell r="E172" t="str">
            <v>CLASF</v>
          </cell>
          <cell r="F172" t="str">
            <v>TRIN</v>
          </cell>
        </row>
        <row r="173">
          <cell r="A173">
            <v>2006</v>
          </cell>
          <cell r="B173" t="str">
            <v>*</v>
          </cell>
          <cell r="C173" t="str">
            <v>CANTABRIA</v>
          </cell>
          <cell r="D173" t="str">
            <v>*</v>
          </cell>
          <cell r="E173">
            <v>2.5</v>
          </cell>
        </row>
        <row r="174">
          <cell r="A174" t="str">
            <v>AÑO</v>
          </cell>
          <cell r="B174" t="str">
            <v>GRUPO</v>
          </cell>
          <cell r="C174" t="str">
            <v>SECTOR</v>
          </cell>
          <cell r="D174" t="str">
            <v>AGGTO</v>
          </cell>
          <cell r="E174" t="str">
            <v>CLASF</v>
          </cell>
          <cell r="F174" t="str">
            <v>TRIN</v>
          </cell>
        </row>
        <row r="175">
          <cell r="A175">
            <v>2006</v>
          </cell>
          <cell r="B175" t="str">
            <v>*</v>
          </cell>
          <cell r="C175" t="str">
            <v>CANTABRIA</v>
          </cell>
          <cell r="D175" t="str">
            <v>*</v>
          </cell>
          <cell r="E175">
            <v>3.1</v>
          </cell>
          <cell r="F175" t="str">
            <v>NC</v>
          </cell>
        </row>
        <row r="176">
          <cell r="A176" t="str">
            <v>AÑO</v>
          </cell>
          <cell r="B176" t="str">
            <v>GRUPO</v>
          </cell>
          <cell r="C176" t="str">
            <v>SECTOR</v>
          </cell>
          <cell r="D176" t="str">
            <v>AGGTO</v>
          </cell>
          <cell r="E176" t="str">
            <v>CLASF</v>
          </cell>
          <cell r="F176" t="str">
            <v>TRIN</v>
          </cell>
        </row>
        <row r="177">
          <cell r="A177">
            <v>2006</v>
          </cell>
          <cell r="B177" t="str">
            <v>*</v>
          </cell>
          <cell r="C177" t="str">
            <v>CANTABRIA</v>
          </cell>
          <cell r="D177" t="str">
            <v>*</v>
          </cell>
          <cell r="E177">
            <v>3.2</v>
          </cell>
          <cell r="F177" t="str">
            <v>NC</v>
          </cell>
        </row>
        <row r="178">
          <cell r="A178" t="str">
            <v>AÑO</v>
          </cell>
          <cell r="B178" t="str">
            <v>GRUPO</v>
          </cell>
          <cell r="C178" t="str">
            <v>SECTOR</v>
          </cell>
          <cell r="D178" t="str">
            <v>AGGTO</v>
          </cell>
          <cell r="E178" t="str">
            <v>CLASF</v>
          </cell>
          <cell r="F178" t="str">
            <v>TRIN</v>
          </cell>
        </row>
        <row r="179">
          <cell r="A179">
            <v>2006</v>
          </cell>
          <cell r="B179" t="str">
            <v>*</v>
          </cell>
          <cell r="C179" t="str">
            <v>CANTABRIA</v>
          </cell>
          <cell r="D179" t="str">
            <v>*</v>
          </cell>
          <cell r="E179">
            <v>3.3</v>
          </cell>
        </row>
        <row r="180">
          <cell r="A180" t="str">
            <v>AÑO</v>
          </cell>
          <cell r="B180" t="str">
            <v>GRUPO</v>
          </cell>
          <cell r="C180" t="str">
            <v>SECTOR</v>
          </cell>
          <cell r="D180" t="str">
            <v>AGGTO</v>
          </cell>
          <cell r="E180" t="str">
            <v>CLASF</v>
          </cell>
          <cell r="F180" t="str">
            <v>TRIN</v>
          </cell>
        </row>
        <row r="181">
          <cell r="A181">
            <v>2006</v>
          </cell>
          <cell r="B181" t="str">
            <v>*</v>
          </cell>
          <cell r="C181" t="str">
            <v>CANTABRIA</v>
          </cell>
          <cell r="D181" t="str">
            <v>*</v>
          </cell>
          <cell r="E181">
            <v>3.4</v>
          </cell>
        </row>
        <row r="182">
          <cell r="A182" t="str">
            <v>AÑO</v>
          </cell>
          <cell r="B182" t="str">
            <v>GRUPO</v>
          </cell>
          <cell r="C182" t="str">
            <v>SECTOR</v>
          </cell>
          <cell r="D182" t="str">
            <v>AGGTO</v>
          </cell>
          <cell r="E182" t="str">
            <v>CLASF</v>
          </cell>
          <cell r="F182" t="str">
            <v>TRIN</v>
          </cell>
        </row>
        <row r="183">
          <cell r="A183">
            <v>2006</v>
          </cell>
          <cell r="B183" t="str">
            <v>*</v>
          </cell>
          <cell r="C183" t="str">
            <v>CANTABRIA</v>
          </cell>
          <cell r="D183" t="str">
            <v>*</v>
          </cell>
          <cell r="E183">
            <v>5.0999999999999996</v>
          </cell>
        </row>
        <row r="184">
          <cell r="A184" t="str">
            <v>AÑO</v>
          </cell>
          <cell r="B184" t="str">
            <v>GRUPO</v>
          </cell>
          <cell r="C184" t="str">
            <v>SECTOR</v>
          </cell>
          <cell r="D184" t="str">
            <v>AGGTO</v>
          </cell>
          <cell r="E184" t="str">
            <v>CLASF</v>
          </cell>
          <cell r="F184" t="str">
            <v>TRIN</v>
          </cell>
          <cell r="I184" t="str">
            <v>AÑO</v>
          </cell>
          <cell r="J184" t="str">
            <v>GRUPO</v>
          </cell>
          <cell r="K184" t="str">
            <v>SECTOR</v>
          </cell>
          <cell r="L184" t="str">
            <v>AGGTO</v>
          </cell>
          <cell r="M184" t="str">
            <v>CLASF</v>
          </cell>
          <cell r="N184" t="str">
            <v>CLASE</v>
          </cell>
          <cell r="O184" t="str">
            <v>TRIN</v>
          </cell>
        </row>
        <row r="185">
          <cell r="A185">
            <v>2006</v>
          </cell>
          <cell r="B185" t="str">
            <v>*</v>
          </cell>
          <cell r="C185" t="str">
            <v>CANTABRIA</v>
          </cell>
          <cell r="D185" t="str">
            <v>*</v>
          </cell>
          <cell r="E185">
            <v>5.2</v>
          </cell>
          <cell r="F185" t="str">
            <v>NC</v>
          </cell>
          <cell r="I185">
            <v>2003</v>
          </cell>
          <cell r="J185" t="str">
            <v>*</v>
          </cell>
          <cell r="K185" t="str">
            <v>CANTABRIA</v>
          </cell>
          <cell r="L185" t="str">
            <v>*</v>
          </cell>
          <cell r="M185">
            <v>1.6</v>
          </cell>
          <cell r="N185" t="str">
            <v>A</v>
          </cell>
        </row>
        <row r="186">
          <cell r="A186" t="str">
            <v>AÑO</v>
          </cell>
          <cell r="B186" t="str">
            <v>GRUPO</v>
          </cell>
          <cell r="C186" t="str">
            <v>SECTOR</v>
          </cell>
          <cell r="D186" t="str">
            <v>AGGTO</v>
          </cell>
          <cell r="E186" t="str">
            <v>CLASF</v>
          </cell>
          <cell r="F186" t="str">
            <v>TRIN</v>
          </cell>
        </row>
        <row r="187">
          <cell r="A187">
            <v>2006</v>
          </cell>
          <cell r="B187" t="str">
            <v>*</v>
          </cell>
          <cell r="C187" t="str">
            <v>CANTABRIA</v>
          </cell>
          <cell r="D187" t="str">
            <v>*</v>
          </cell>
          <cell r="E187">
            <v>5.3</v>
          </cell>
          <cell r="I187" t="str">
            <v>AÑO</v>
          </cell>
          <cell r="J187" t="str">
            <v>GRUPO</v>
          </cell>
          <cell r="K187" t="str">
            <v>SECTOR</v>
          </cell>
          <cell r="L187" t="str">
            <v>AGGTO</v>
          </cell>
          <cell r="M187" t="str">
            <v>CLASF</v>
          </cell>
          <cell r="N187" t="str">
            <v>CLASE</v>
          </cell>
          <cell r="O187" t="str">
            <v>TRIN</v>
          </cell>
        </row>
        <row r="188">
          <cell r="I188">
            <v>2003</v>
          </cell>
          <cell r="J188" t="str">
            <v>*</v>
          </cell>
          <cell r="K188" t="str">
            <v>CANTABRIA</v>
          </cell>
          <cell r="L188" t="str">
            <v>*</v>
          </cell>
          <cell r="M188">
            <v>1.6</v>
          </cell>
          <cell r="N188" t="str">
            <v>B</v>
          </cell>
        </row>
        <row r="189">
          <cell r="A189" t="str">
            <v>AÑO</v>
          </cell>
          <cell r="B189" t="str">
            <v>GRUPO</v>
          </cell>
          <cell r="C189" t="str">
            <v>SECTOR</v>
          </cell>
          <cell r="D189" t="str">
            <v>AGGTO</v>
          </cell>
          <cell r="E189" t="str">
            <v>CLASF</v>
          </cell>
          <cell r="F189" t="str">
            <v>TRIN</v>
          </cell>
        </row>
        <row r="190">
          <cell r="A190">
            <v>2003</v>
          </cell>
          <cell r="B190" t="str">
            <v>*</v>
          </cell>
          <cell r="C190" t="str">
            <v>CANTABRIA</v>
          </cell>
          <cell r="D190" t="str">
            <v>*</v>
          </cell>
          <cell r="E190">
            <v>2.1</v>
          </cell>
          <cell r="I190" t="str">
            <v>AÑO</v>
          </cell>
          <cell r="J190" t="str">
            <v>GRUPO</v>
          </cell>
          <cell r="K190" t="str">
            <v>SECTOR</v>
          </cell>
          <cell r="L190" t="str">
            <v>AGGTO</v>
          </cell>
          <cell r="M190" t="str">
            <v>CLASF</v>
          </cell>
          <cell r="N190" t="str">
            <v>CLASE</v>
          </cell>
          <cell r="O190" t="str">
            <v>TRIN</v>
          </cell>
        </row>
        <row r="191">
          <cell r="A191" t="str">
            <v>AÑO</v>
          </cell>
          <cell r="B191" t="str">
            <v>GRUPO</v>
          </cell>
          <cell r="C191" t="str">
            <v>SECTOR</v>
          </cell>
          <cell r="D191" t="str">
            <v>AGGTO</v>
          </cell>
          <cell r="E191" t="str">
            <v>CLASF</v>
          </cell>
          <cell r="F191" t="str">
            <v>TRIN</v>
          </cell>
          <cell r="I191">
            <v>2003</v>
          </cell>
          <cell r="J191" t="str">
            <v>*</v>
          </cell>
          <cell r="K191" t="str">
            <v>CANTABRIA</v>
          </cell>
          <cell r="L191" t="str">
            <v>*</v>
          </cell>
          <cell r="M191">
            <v>1.6</v>
          </cell>
          <cell r="N191" t="str">
            <v>C</v>
          </cell>
        </row>
        <row r="192">
          <cell r="A192">
            <v>2003</v>
          </cell>
          <cell r="B192" t="str">
            <v>*</v>
          </cell>
          <cell r="C192" t="str">
            <v>CANTABRIA</v>
          </cell>
          <cell r="D192" t="str">
            <v>*</v>
          </cell>
          <cell r="E192">
            <v>2.2000000000000002</v>
          </cell>
        </row>
        <row r="193">
          <cell r="A193" t="str">
            <v>AÑO</v>
          </cell>
          <cell r="B193" t="str">
            <v>GRUPO</v>
          </cell>
          <cell r="C193" t="str">
            <v>SECTOR</v>
          </cell>
          <cell r="D193" t="str">
            <v>AGGTO</v>
          </cell>
          <cell r="E193" t="str">
            <v>CLASF</v>
          </cell>
          <cell r="F193" t="str">
            <v>TRIN</v>
          </cell>
          <cell r="I193" t="str">
            <v>AÑO</v>
          </cell>
          <cell r="J193" t="str">
            <v>GRUPO</v>
          </cell>
          <cell r="K193" t="str">
            <v>SECTOR</v>
          </cell>
          <cell r="L193" t="str">
            <v>AGGTO</v>
          </cell>
          <cell r="M193" t="str">
            <v>CLASF</v>
          </cell>
          <cell r="N193" t="str">
            <v>CLASE</v>
          </cell>
          <cell r="O193" t="str">
            <v>TRIN</v>
          </cell>
        </row>
        <row r="194">
          <cell r="A194">
            <v>2003</v>
          </cell>
          <cell r="B194" t="str">
            <v>*</v>
          </cell>
          <cell r="C194" t="str">
            <v>CANTABRIA</v>
          </cell>
          <cell r="D194" t="str">
            <v>*</v>
          </cell>
          <cell r="E194">
            <v>2.2999999999999998</v>
          </cell>
          <cell r="I194">
            <v>2004</v>
          </cell>
          <cell r="J194" t="str">
            <v>*</v>
          </cell>
          <cell r="K194" t="str">
            <v>CANTABRIA</v>
          </cell>
          <cell r="L194" t="str">
            <v>*</v>
          </cell>
          <cell r="M194">
            <v>1.6</v>
          </cell>
          <cell r="N194" t="str">
            <v>A</v>
          </cell>
        </row>
        <row r="195">
          <cell r="A195" t="str">
            <v>AÑO</v>
          </cell>
          <cell r="B195" t="str">
            <v>GRUPO</v>
          </cell>
          <cell r="C195" t="str">
            <v>SECTOR</v>
          </cell>
          <cell r="D195" t="str">
            <v>AGGTO</v>
          </cell>
          <cell r="E195" t="str">
            <v>CLASF</v>
          </cell>
          <cell r="F195" t="str">
            <v>TRIN</v>
          </cell>
        </row>
        <row r="196">
          <cell r="A196">
            <v>2003</v>
          </cell>
          <cell r="B196" t="str">
            <v>*</v>
          </cell>
          <cell r="C196" t="str">
            <v>CANTABRIA</v>
          </cell>
          <cell r="D196" t="str">
            <v>*</v>
          </cell>
          <cell r="E196">
            <v>2.4</v>
          </cell>
          <cell r="I196" t="str">
            <v>AÑO</v>
          </cell>
          <cell r="J196" t="str">
            <v>GRUPO</v>
          </cell>
          <cell r="K196" t="str">
            <v>SECTOR</v>
          </cell>
          <cell r="L196" t="str">
            <v>AGGTO</v>
          </cell>
          <cell r="M196" t="str">
            <v>CLASF</v>
          </cell>
          <cell r="N196" t="str">
            <v>CLASE</v>
          </cell>
          <cell r="O196" t="str">
            <v>TRIN</v>
          </cell>
        </row>
        <row r="197">
          <cell r="A197" t="str">
            <v>AÑO</v>
          </cell>
          <cell r="B197" t="str">
            <v>GRUPO</v>
          </cell>
          <cell r="C197" t="str">
            <v>SECTOR</v>
          </cell>
          <cell r="D197" t="str">
            <v>AGGTO</v>
          </cell>
          <cell r="E197" t="str">
            <v>CLASF</v>
          </cell>
          <cell r="F197" t="str">
            <v>TRIN</v>
          </cell>
          <cell r="I197">
            <v>2004</v>
          </cell>
          <cell r="J197" t="str">
            <v>*</v>
          </cell>
          <cell r="K197" t="str">
            <v>CANTABRIA</v>
          </cell>
          <cell r="L197" t="str">
            <v>*</v>
          </cell>
          <cell r="M197">
            <v>1.6</v>
          </cell>
          <cell r="N197" t="str">
            <v>B</v>
          </cell>
        </row>
        <row r="198">
          <cell r="A198">
            <v>2003</v>
          </cell>
          <cell r="B198" t="str">
            <v>*</v>
          </cell>
          <cell r="C198" t="str">
            <v>CANTABRIA</v>
          </cell>
          <cell r="D198" t="str">
            <v>*</v>
          </cell>
          <cell r="E198">
            <v>2.5</v>
          </cell>
        </row>
        <row r="199">
          <cell r="A199" t="str">
            <v>AÑO</v>
          </cell>
          <cell r="B199" t="str">
            <v>GRUPO</v>
          </cell>
          <cell r="C199" t="str">
            <v>SECTOR</v>
          </cell>
          <cell r="D199" t="str">
            <v>AGGTO</v>
          </cell>
          <cell r="E199" t="str">
            <v>CLASF</v>
          </cell>
          <cell r="F199" t="str">
            <v>TRIN</v>
          </cell>
          <cell r="I199" t="str">
            <v>AÑO</v>
          </cell>
          <cell r="J199" t="str">
            <v>GRUPO</v>
          </cell>
          <cell r="K199" t="str">
            <v>SECTOR</v>
          </cell>
          <cell r="L199" t="str">
            <v>AGGTO</v>
          </cell>
          <cell r="M199" t="str">
            <v>CLASF</v>
          </cell>
          <cell r="N199" t="str">
            <v>CLASE</v>
          </cell>
          <cell r="O199" t="str">
            <v>TRIN</v>
          </cell>
        </row>
        <row r="200">
          <cell r="A200">
            <v>2003</v>
          </cell>
          <cell r="B200" t="str">
            <v>*</v>
          </cell>
          <cell r="C200" t="str">
            <v>CANTABRIA</v>
          </cell>
          <cell r="D200" t="str">
            <v>*</v>
          </cell>
          <cell r="E200">
            <v>3.1</v>
          </cell>
          <cell r="F200" t="str">
            <v>NC</v>
          </cell>
          <cell r="I200">
            <v>2004</v>
          </cell>
          <cell r="J200" t="str">
            <v>*</v>
          </cell>
          <cell r="K200" t="str">
            <v>CANTABRIA</v>
          </cell>
          <cell r="L200" t="str">
            <v>*</v>
          </cell>
          <cell r="M200">
            <v>1.6</v>
          </cell>
          <cell r="N200" t="str">
            <v>C</v>
          </cell>
        </row>
        <row r="201">
          <cell r="A201" t="str">
            <v>AÑO</v>
          </cell>
          <cell r="B201" t="str">
            <v>GRUPO</v>
          </cell>
          <cell r="C201" t="str">
            <v>SECTOR</v>
          </cell>
          <cell r="D201" t="str">
            <v>AGGTO</v>
          </cell>
          <cell r="E201" t="str">
            <v>CLASF</v>
          </cell>
          <cell r="F201" t="str">
            <v>TRIN</v>
          </cell>
        </row>
        <row r="202">
          <cell r="A202">
            <v>2003</v>
          </cell>
          <cell r="B202" t="str">
            <v>*</v>
          </cell>
          <cell r="C202" t="str">
            <v>CANTABRIA</v>
          </cell>
          <cell r="D202" t="str">
            <v>*</v>
          </cell>
          <cell r="E202">
            <v>3.2</v>
          </cell>
          <cell r="F202" t="str">
            <v>NC</v>
          </cell>
          <cell r="I202" t="str">
            <v>AÑO</v>
          </cell>
          <cell r="J202" t="str">
            <v>GRUPO</v>
          </cell>
          <cell r="K202" t="str">
            <v>SECTOR</v>
          </cell>
          <cell r="L202" t="str">
            <v>AGGTO</v>
          </cell>
          <cell r="M202" t="str">
            <v>CLASF</v>
          </cell>
          <cell r="N202" t="str">
            <v>CLASE</v>
          </cell>
          <cell r="O202" t="str">
            <v>TRIN</v>
          </cell>
        </row>
        <row r="203">
          <cell r="I203">
            <v>2005</v>
          </cell>
          <cell r="J203" t="str">
            <v>*</v>
          </cell>
          <cell r="K203" t="str">
            <v>CANTABRIA</v>
          </cell>
          <cell r="L203" t="str">
            <v>*</v>
          </cell>
          <cell r="M203">
            <v>1.6</v>
          </cell>
          <cell r="N203" t="str">
            <v>A</v>
          </cell>
        </row>
        <row r="205">
          <cell r="A205" t="str">
            <v>AÑO</v>
          </cell>
          <cell r="B205" t="str">
            <v>GRUPO</v>
          </cell>
          <cell r="C205" t="str">
            <v>SECTOR</v>
          </cell>
          <cell r="D205" t="str">
            <v>AGGTO</v>
          </cell>
          <cell r="E205" t="str">
            <v>CLASF</v>
          </cell>
          <cell r="F205" t="str">
            <v>TRIN</v>
          </cell>
          <cell r="I205" t="str">
            <v>AÑO</v>
          </cell>
          <cell r="J205" t="str">
            <v>GRUPO</v>
          </cell>
          <cell r="K205" t="str">
            <v>SECTOR</v>
          </cell>
          <cell r="L205" t="str">
            <v>AGGTO</v>
          </cell>
          <cell r="M205" t="str">
            <v>CLASF</v>
          </cell>
          <cell r="N205" t="str">
            <v>CLASE</v>
          </cell>
          <cell r="O205" t="str">
            <v>TRIN</v>
          </cell>
        </row>
        <row r="206">
          <cell r="A206">
            <v>2003</v>
          </cell>
          <cell r="B206" t="str">
            <v>*</v>
          </cell>
          <cell r="C206" t="str">
            <v>CANTABRIA</v>
          </cell>
          <cell r="D206" t="str">
            <v>*</v>
          </cell>
          <cell r="E206">
            <v>3.3</v>
          </cell>
          <cell r="I206">
            <v>2005</v>
          </cell>
          <cell r="J206" t="str">
            <v>*</v>
          </cell>
          <cell r="K206" t="str">
            <v>CANTABRIA</v>
          </cell>
          <cell r="L206" t="str">
            <v>*</v>
          </cell>
          <cell r="M206">
            <v>1.6</v>
          </cell>
          <cell r="N206" t="str">
            <v>B</v>
          </cell>
        </row>
        <row r="207">
          <cell r="A207" t="str">
            <v>AÑO</v>
          </cell>
          <cell r="B207" t="str">
            <v>GRUPO</v>
          </cell>
          <cell r="C207" t="str">
            <v>SECTOR</v>
          </cell>
          <cell r="D207" t="str">
            <v>AGGTO</v>
          </cell>
          <cell r="E207" t="str">
            <v>CLASF</v>
          </cell>
          <cell r="F207" t="str">
            <v>TRIN</v>
          </cell>
        </row>
        <row r="208">
          <cell r="A208">
            <v>2003</v>
          </cell>
          <cell r="B208" t="str">
            <v>*</v>
          </cell>
          <cell r="C208" t="str">
            <v>CANTABRIA</v>
          </cell>
          <cell r="D208" t="str">
            <v>*</v>
          </cell>
          <cell r="E208">
            <v>3.4</v>
          </cell>
          <cell r="I208" t="str">
            <v>AÑO</v>
          </cell>
          <cell r="J208" t="str">
            <v>GRUPO</v>
          </cell>
          <cell r="K208" t="str">
            <v>SECTOR</v>
          </cell>
          <cell r="L208" t="str">
            <v>AGGTO</v>
          </cell>
          <cell r="M208" t="str">
            <v>CLASF</v>
          </cell>
          <cell r="N208" t="str">
            <v>CLASE</v>
          </cell>
          <cell r="O208" t="str">
            <v>TRIN</v>
          </cell>
        </row>
        <row r="209">
          <cell r="A209" t="str">
            <v>AÑO</v>
          </cell>
          <cell r="B209" t="str">
            <v>GRUPO</v>
          </cell>
          <cell r="C209" t="str">
            <v>SECTOR</v>
          </cell>
          <cell r="D209" t="str">
            <v>AGGTO</v>
          </cell>
          <cell r="E209" t="str">
            <v>CLASF</v>
          </cell>
          <cell r="F209" t="str">
            <v>TRIN</v>
          </cell>
          <cell r="I209">
            <v>2005</v>
          </cell>
          <cell r="J209" t="str">
            <v>*</v>
          </cell>
          <cell r="K209" t="str">
            <v>CANTABRIA</v>
          </cell>
          <cell r="L209" t="str">
            <v>*</v>
          </cell>
          <cell r="M209">
            <v>1.6</v>
          </cell>
          <cell r="N209" t="str">
            <v>C</v>
          </cell>
        </row>
        <row r="210">
          <cell r="A210">
            <v>2003</v>
          </cell>
          <cell r="B210" t="str">
            <v>*</v>
          </cell>
          <cell r="C210" t="str">
            <v>CANTABRIA</v>
          </cell>
          <cell r="D210" t="str">
            <v>*</v>
          </cell>
          <cell r="E210">
            <v>5.0999999999999996</v>
          </cell>
        </row>
        <row r="211">
          <cell r="A211" t="str">
            <v>AÑO</v>
          </cell>
          <cell r="B211" t="str">
            <v>GRUPO</v>
          </cell>
          <cell r="C211" t="str">
            <v>SECTOR</v>
          </cell>
          <cell r="D211" t="str">
            <v>AGGTO</v>
          </cell>
          <cell r="E211" t="str">
            <v>CLASF</v>
          </cell>
          <cell r="F211" t="str">
            <v>TRIN</v>
          </cell>
          <cell r="I211" t="str">
            <v>AÑO</v>
          </cell>
          <cell r="J211" t="str">
            <v>GRUPO</v>
          </cell>
          <cell r="K211" t="str">
            <v>SECTOR</v>
          </cell>
          <cell r="L211" t="str">
            <v>AGGTO</v>
          </cell>
          <cell r="M211" t="str">
            <v>CLASF</v>
          </cell>
          <cell r="N211" t="str">
            <v>CLASE</v>
          </cell>
          <cell r="O211" t="str">
            <v>TRIN</v>
          </cell>
        </row>
        <row r="212">
          <cell r="A212">
            <v>2003</v>
          </cell>
          <cell r="B212" t="str">
            <v>*</v>
          </cell>
          <cell r="C212" t="str">
            <v>CANTABRIA</v>
          </cell>
          <cell r="D212" t="str">
            <v>*</v>
          </cell>
          <cell r="E212">
            <v>5.2</v>
          </cell>
          <cell r="F212" t="str">
            <v>NC</v>
          </cell>
          <cell r="I212">
            <v>2002</v>
          </cell>
          <cell r="J212" t="str">
            <v>*</v>
          </cell>
          <cell r="K212" t="str">
            <v>CANTABRIA</v>
          </cell>
          <cell r="L212" t="str">
            <v>*</v>
          </cell>
          <cell r="M212">
            <v>1.1000000000000001</v>
          </cell>
          <cell r="N212" t="str">
            <v>A</v>
          </cell>
        </row>
        <row r="213">
          <cell r="A213" t="str">
            <v>AÑO</v>
          </cell>
          <cell r="B213" t="str">
            <v>GRUPO</v>
          </cell>
          <cell r="C213" t="str">
            <v>SECTOR</v>
          </cell>
          <cell r="D213" t="str">
            <v>AGGTO</v>
          </cell>
          <cell r="E213" t="str">
            <v>CLASF</v>
          </cell>
          <cell r="F213" t="str">
            <v>TRIN</v>
          </cell>
        </row>
        <row r="214">
          <cell r="A214">
            <v>2003</v>
          </cell>
          <cell r="B214" t="str">
            <v>*</v>
          </cell>
          <cell r="C214" t="str">
            <v>CANTABRIA</v>
          </cell>
          <cell r="D214" t="str">
            <v>*</v>
          </cell>
          <cell r="E214">
            <v>5.3</v>
          </cell>
          <cell r="I214" t="str">
            <v>AÑO</v>
          </cell>
          <cell r="J214" t="str">
            <v>GRUPO</v>
          </cell>
          <cell r="K214" t="str">
            <v>SECTOR</v>
          </cell>
          <cell r="L214" t="str">
            <v>AGGTO</v>
          </cell>
          <cell r="M214" t="str">
            <v>CLASF</v>
          </cell>
          <cell r="N214" t="str">
            <v>CLASE</v>
          </cell>
          <cell r="O214" t="str">
            <v>TRIN</v>
          </cell>
        </row>
        <row r="215">
          <cell r="I215">
            <v>2002</v>
          </cell>
          <cell r="J215" t="str">
            <v>*</v>
          </cell>
          <cell r="K215" t="str">
            <v>CANTABRIA</v>
          </cell>
          <cell r="L215" t="str">
            <v>*</v>
          </cell>
          <cell r="M215">
            <v>1.1000000000000001</v>
          </cell>
          <cell r="N215" t="str">
            <v>B</v>
          </cell>
        </row>
        <row r="216">
          <cell r="A216" t="str">
            <v>AÑO</v>
          </cell>
          <cell r="B216" t="str">
            <v>GRUPO</v>
          </cell>
          <cell r="C216" t="str">
            <v>SECTOR</v>
          </cell>
          <cell r="D216" t="str">
            <v>AGGTO</v>
          </cell>
          <cell r="E216" t="str">
            <v>CLASF</v>
          </cell>
          <cell r="F216" t="str">
            <v>TRIN</v>
          </cell>
        </row>
        <row r="217">
          <cell r="A217">
            <v>2004</v>
          </cell>
          <cell r="B217" t="str">
            <v>*</v>
          </cell>
          <cell r="C217" t="str">
            <v>CANTABRIA</v>
          </cell>
          <cell r="D217" t="str">
            <v>*</v>
          </cell>
          <cell r="E217">
            <v>2.1</v>
          </cell>
          <cell r="I217" t="str">
            <v>AÑO</v>
          </cell>
          <cell r="J217" t="str">
            <v>GRUPO</v>
          </cell>
          <cell r="K217" t="str">
            <v>SECTOR</v>
          </cell>
          <cell r="L217" t="str">
            <v>AGGTO</v>
          </cell>
          <cell r="M217" t="str">
            <v>CLASF</v>
          </cell>
          <cell r="N217" t="str">
            <v>CLASE</v>
          </cell>
          <cell r="O217" t="str">
            <v>TRIN</v>
          </cell>
        </row>
        <row r="218">
          <cell r="A218" t="str">
            <v>AÑO</v>
          </cell>
          <cell r="B218" t="str">
            <v>GRUPO</v>
          </cell>
          <cell r="C218" t="str">
            <v>SECTOR</v>
          </cell>
          <cell r="D218" t="str">
            <v>AGGTO</v>
          </cell>
          <cell r="E218" t="str">
            <v>CLASF</v>
          </cell>
          <cell r="F218" t="str">
            <v>TRIN</v>
          </cell>
          <cell r="I218">
            <v>2002</v>
          </cell>
          <cell r="J218" t="str">
            <v>*</v>
          </cell>
          <cell r="K218" t="str">
            <v>CANTABRIA</v>
          </cell>
          <cell r="L218" t="str">
            <v>*</v>
          </cell>
          <cell r="M218">
            <v>1.1000000000000001</v>
          </cell>
          <cell r="N218" t="str">
            <v>C</v>
          </cell>
        </row>
        <row r="219">
          <cell r="A219">
            <v>2004</v>
          </cell>
          <cell r="B219" t="str">
            <v>*</v>
          </cell>
          <cell r="C219" t="str">
            <v>CANTABRIA</v>
          </cell>
          <cell r="D219" t="str">
            <v>*</v>
          </cell>
          <cell r="E219">
            <v>2.2000000000000002</v>
          </cell>
        </row>
        <row r="220">
          <cell r="A220" t="str">
            <v>AÑO</v>
          </cell>
          <cell r="B220" t="str">
            <v>GRUPO</v>
          </cell>
          <cell r="C220" t="str">
            <v>SECTOR</v>
          </cell>
          <cell r="D220" t="str">
            <v>AGGTO</v>
          </cell>
          <cell r="E220" t="str">
            <v>CLASF</v>
          </cell>
          <cell r="F220" t="str">
            <v>TRIN</v>
          </cell>
          <cell r="I220" t="str">
            <v>AÑO</v>
          </cell>
          <cell r="J220" t="str">
            <v>GRUPO</v>
          </cell>
          <cell r="K220" t="str">
            <v>SECTOR</v>
          </cell>
          <cell r="L220" t="str">
            <v>AGGTO</v>
          </cell>
          <cell r="M220" t="str">
            <v>CLASF</v>
          </cell>
          <cell r="N220" t="str">
            <v>CLASE</v>
          </cell>
          <cell r="O220" t="str">
            <v>TRIN</v>
          </cell>
        </row>
        <row r="221">
          <cell r="A221">
            <v>2004</v>
          </cell>
          <cell r="B221" t="str">
            <v>*</v>
          </cell>
          <cell r="C221" t="str">
            <v>CANTABRIA</v>
          </cell>
          <cell r="D221" t="str">
            <v>*</v>
          </cell>
          <cell r="E221">
            <v>2.2999999999999998</v>
          </cell>
          <cell r="I221">
            <v>2002</v>
          </cell>
          <cell r="J221" t="str">
            <v>*</v>
          </cell>
          <cell r="K221" t="str">
            <v>CANTABRIA</v>
          </cell>
          <cell r="L221" t="str">
            <v>*</v>
          </cell>
          <cell r="M221">
            <v>1.2</v>
          </cell>
          <cell r="N221" t="str">
            <v>A</v>
          </cell>
        </row>
        <row r="222">
          <cell r="A222" t="str">
            <v>AÑO</v>
          </cell>
          <cell r="B222" t="str">
            <v>GRUPO</v>
          </cell>
          <cell r="C222" t="str">
            <v>SECTOR</v>
          </cell>
          <cell r="D222" t="str">
            <v>AGGTO</v>
          </cell>
          <cell r="E222" t="str">
            <v>CLASF</v>
          </cell>
          <cell r="F222" t="str">
            <v>TRIN</v>
          </cell>
        </row>
        <row r="223">
          <cell r="A223">
            <v>2004</v>
          </cell>
          <cell r="B223" t="str">
            <v>*</v>
          </cell>
          <cell r="C223" t="str">
            <v>CANTABRIA</v>
          </cell>
          <cell r="D223" t="str">
            <v>*</v>
          </cell>
          <cell r="E223">
            <v>2.4</v>
          </cell>
          <cell r="I223" t="str">
            <v>AÑO</v>
          </cell>
          <cell r="J223" t="str">
            <v>GRUPO</v>
          </cell>
          <cell r="K223" t="str">
            <v>SECTOR</v>
          </cell>
          <cell r="L223" t="str">
            <v>AGGTO</v>
          </cell>
          <cell r="M223" t="str">
            <v>CLASF</v>
          </cell>
          <cell r="N223" t="str">
            <v>CLASE</v>
          </cell>
          <cell r="O223" t="str">
            <v>TRIN</v>
          </cell>
        </row>
        <row r="224">
          <cell r="I224">
            <v>2002</v>
          </cell>
          <cell r="J224" t="str">
            <v>*</v>
          </cell>
          <cell r="K224" t="str">
            <v>CANTABRIA</v>
          </cell>
          <cell r="L224" t="str">
            <v>*</v>
          </cell>
          <cell r="M224">
            <v>1.2</v>
          </cell>
          <cell r="N224" t="str">
            <v>B</v>
          </cell>
        </row>
        <row r="226">
          <cell r="A226" t="str">
            <v>AÑO</v>
          </cell>
          <cell r="B226" t="str">
            <v>GRUPO</v>
          </cell>
          <cell r="C226" t="str">
            <v>SECTOR</v>
          </cell>
          <cell r="D226" t="str">
            <v>AGGTO</v>
          </cell>
          <cell r="E226" t="str">
            <v>CLASF</v>
          </cell>
          <cell r="F226" t="str">
            <v>TRIN</v>
          </cell>
          <cell r="I226" t="str">
            <v>AÑO</v>
          </cell>
          <cell r="J226" t="str">
            <v>GRUPO</v>
          </cell>
          <cell r="K226" t="str">
            <v>SECTOR</v>
          </cell>
          <cell r="L226" t="str">
            <v>AGGTO</v>
          </cell>
          <cell r="M226" t="str">
            <v>CLASF</v>
          </cell>
          <cell r="N226" t="str">
            <v>CLASE</v>
          </cell>
          <cell r="O226" t="str">
            <v>TRIN</v>
          </cell>
        </row>
        <row r="227">
          <cell r="A227">
            <v>2004</v>
          </cell>
          <cell r="B227" t="str">
            <v>*</v>
          </cell>
          <cell r="C227" t="str">
            <v>CANTABRIA</v>
          </cell>
          <cell r="D227" t="str">
            <v>*</v>
          </cell>
          <cell r="E227">
            <v>2.5</v>
          </cell>
          <cell r="I227">
            <v>2002</v>
          </cell>
          <cell r="J227" t="str">
            <v>*</v>
          </cell>
          <cell r="K227" t="str">
            <v>CANTABRIA</v>
          </cell>
          <cell r="L227" t="str">
            <v>*</v>
          </cell>
          <cell r="M227">
            <v>1.2</v>
          </cell>
          <cell r="N227" t="str">
            <v>C</v>
          </cell>
        </row>
        <row r="228">
          <cell r="A228" t="str">
            <v>AÑO</v>
          </cell>
          <cell r="B228" t="str">
            <v>GRUPO</v>
          </cell>
          <cell r="C228" t="str">
            <v>SECTOR</v>
          </cell>
          <cell r="D228" t="str">
            <v>AGGTO</v>
          </cell>
          <cell r="E228" t="str">
            <v>CLASF</v>
          </cell>
          <cell r="F228" t="str">
            <v>TRIN</v>
          </cell>
        </row>
        <row r="229">
          <cell r="A229">
            <v>2004</v>
          </cell>
          <cell r="B229" t="str">
            <v>*</v>
          </cell>
          <cell r="C229" t="str">
            <v>CANTABRIA</v>
          </cell>
          <cell r="D229" t="str">
            <v>*</v>
          </cell>
          <cell r="E229">
            <v>3.1</v>
          </cell>
          <cell r="F229" t="str">
            <v>NC</v>
          </cell>
          <cell r="I229" t="str">
            <v>AÑO</v>
          </cell>
          <cell r="J229" t="str">
            <v>GRUPO</v>
          </cell>
          <cell r="K229" t="str">
            <v>SECTOR</v>
          </cell>
          <cell r="L229" t="str">
            <v>AGGTO</v>
          </cell>
          <cell r="M229" t="str">
            <v>CLASF</v>
          </cell>
          <cell r="N229" t="str">
            <v>CLASE</v>
          </cell>
          <cell r="O229" t="str">
            <v>TRIN</v>
          </cell>
        </row>
        <row r="230">
          <cell r="I230">
            <v>2002</v>
          </cell>
          <cell r="J230" t="str">
            <v>*</v>
          </cell>
          <cell r="K230" t="str">
            <v>CANTABRIA</v>
          </cell>
          <cell r="L230" t="str">
            <v>*</v>
          </cell>
          <cell r="M230">
            <v>1.3</v>
          </cell>
          <cell r="N230" t="str">
            <v>A</v>
          </cell>
        </row>
        <row r="232">
          <cell r="A232" t="str">
            <v>AÑO</v>
          </cell>
          <cell r="B232" t="str">
            <v>GRUPO</v>
          </cell>
          <cell r="C232" t="str">
            <v>SECTOR</v>
          </cell>
          <cell r="D232" t="str">
            <v>AGGTO</v>
          </cell>
          <cell r="E232" t="str">
            <v>CLASF</v>
          </cell>
          <cell r="F232" t="str">
            <v>TRIN</v>
          </cell>
          <cell r="I232" t="str">
            <v>AÑO</v>
          </cell>
          <cell r="J232" t="str">
            <v>GRUPO</v>
          </cell>
          <cell r="K232" t="str">
            <v>SECTOR</v>
          </cell>
          <cell r="L232" t="str">
            <v>AGGTO</v>
          </cell>
          <cell r="M232" t="str">
            <v>CLASF</v>
          </cell>
          <cell r="N232" t="str">
            <v>CLASE</v>
          </cell>
          <cell r="O232" t="str">
            <v>TRIN</v>
          </cell>
        </row>
        <row r="233">
          <cell r="A233">
            <v>2004</v>
          </cell>
          <cell r="B233" t="str">
            <v>*</v>
          </cell>
          <cell r="C233" t="str">
            <v>CANTABRIA</v>
          </cell>
          <cell r="D233" t="str">
            <v>*</v>
          </cell>
          <cell r="E233">
            <v>3.2</v>
          </cell>
          <cell r="F233" t="str">
            <v>NC</v>
          </cell>
          <cell r="I233">
            <v>2002</v>
          </cell>
          <cell r="J233" t="str">
            <v>*</v>
          </cell>
          <cell r="K233" t="str">
            <v>CANTABRIA</v>
          </cell>
          <cell r="L233" t="str">
            <v>*</v>
          </cell>
          <cell r="M233">
            <v>1.3</v>
          </cell>
          <cell r="N233" t="str">
            <v>B</v>
          </cell>
        </row>
        <row r="234">
          <cell r="A234" t="str">
            <v>AÑO</v>
          </cell>
          <cell r="B234" t="str">
            <v>GRUPO</v>
          </cell>
          <cell r="C234" t="str">
            <v>SECTOR</v>
          </cell>
          <cell r="D234" t="str">
            <v>AGGTO</v>
          </cell>
          <cell r="E234" t="str">
            <v>CLASF</v>
          </cell>
          <cell r="F234" t="str">
            <v>TRIN</v>
          </cell>
        </row>
        <row r="235">
          <cell r="A235">
            <v>2004</v>
          </cell>
          <cell r="B235" t="str">
            <v>*</v>
          </cell>
          <cell r="C235" t="str">
            <v>CANTABRIA</v>
          </cell>
          <cell r="D235" t="str">
            <v>*</v>
          </cell>
          <cell r="E235">
            <v>3.3</v>
          </cell>
          <cell r="I235" t="str">
            <v>AÑO</v>
          </cell>
          <cell r="J235" t="str">
            <v>GRUPO</v>
          </cell>
          <cell r="K235" t="str">
            <v>SECTOR</v>
          </cell>
          <cell r="L235" t="str">
            <v>AGGTO</v>
          </cell>
          <cell r="M235" t="str">
            <v>CLASF</v>
          </cell>
          <cell r="N235" t="str">
            <v>CLASE</v>
          </cell>
          <cell r="O235" t="str">
            <v>TRIN</v>
          </cell>
        </row>
        <row r="236">
          <cell r="A236" t="str">
            <v>AÑO</v>
          </cell>
          <cell r="B236" t="str">
            <v>GRUPO</v>
          </cell>
          <cell r="C236" t="str">
            <v>SECTOR</v>
          </cell>
          <cell r="D236" t="str">
            <v>AGGTO</v>
          </cell>
          <cell r="E236" t="str">
            <v>CLASF</v>
          </cell>
          <cell r="F236" t="str">
            <v>TRIN</v>
          </cell>
          <cell r="I236">
            <v>2002</v>
          </cell>
          <cell r="J236" t="str">
            <v>*</v>
          </cell>
          <cell r="K236" t="str">
            <v>CANTABRIA</v>
          </cell>
          <cell r="L236" t="str">
            <v>*</v>
          </cell>
          <cell r="M236">
            <v>1.3</v>
          </cell>
          <cell r="N236" t="str">
            <v>C</v>
          </cell>
        </row>
        <row r="237">
          <cell r="A237">
            <v>2004</v>
          </cell>
          <cell r="B237" t="str">
            <v>*</v>
          </cell>
          <cell r="C237" t="str">
            <v>CANTABRIA</v>
          </cell>
          <cell r="D237" t="str">
            <v>*</v>
          </cell>
          <cell r="E237">
            <v>3.4</v>
          </cell>
        </row>
        <row r="238">
          <cell r="A238" t="str">
            <v>AÑO</v>
          </cell>
          <cell r="B238" t="str">
            <v>GRUPO</v>
          </cell>
          <cell r="C238" t="str">
            <v>SECTOR</v>
          </cell>
          <cell r="D238" t="str">
            <v>AGGTO</v>
          </cell>
          <cell r="E238" t="str">
            <v>CLASF</v>
          </cell>
          <cell r="F238" t="str">
            <v>TRIN</v>
          </cell>
          <cell r="I238" t="str">
            <v>AÑO</v>
          </cell>
          <cell r="J238" t="str">
            <v>GRUPO</v>
          </cell>
          <cell r="K238" t="str">
            <v>SECTOR</v>
          </cell>
          <cell r="L238" t="str">
            <v>AGGTO</v>
          </cell>
          <cell r="M238" t="str">
            <v>CLASF</v>
          </cell>
          <cell r="N238" t="str">
            <v>CLASE</v>
          </cell>
          <cell r="O238" t="str">
            <v>TRIN</v>
          </cell>
        </row>
        <row r="239">
          <cell r="A239">
            <v>2004</v>
          </cell>
          <cell r="B239" t="str">
            <v>*</v>
          </cell>
          <cell r="C239" t="str">
            <v>CANTABRIA</v>
          </cell>
          <cell r="D239" t="str">
            <v>*</v>
          </cell>
          <cell r="E239">
            <v>5.0999999999999996</v>
          </cell>
          <cell r="I239">
            <v>2002</v>
          </cell>
          <cell r="J239" t="str">
            <v>*</v>
          </cell>
          <cell r="K239" t="str">
            <v>CANTABRIA</v>
          </cell>
          <cell r="L239" t="str">
            <v>*</v>
          </cell>
          <cell r="M239">
            <v>1.4</v>
          </cell>
          <cell r="N239" t="str">
            <v>A</v>
          </cell>
        </row>
        <row r="240">
          <cell r="A240" t="str">
            <v>AÑO</v>
          </cell>
          <cell r="B240" t="str">
            <v>GRUPO</v>
          </cell>
          <cell r="C240" t="str">
            <v>SECTOR</v>
          </cell>
          <cell r="D240" t="str">
            <v>AGGTO</v>
          </cell>
          <cell r="E240" t="str">
            <v>CLASF</v>
          </cell>
          <cell r="F240" t="str">
            <v>TRIN</v>
          </cell>
        </row>
        <row r="241">
          <cell r="A241">
            <v>2004</v>
          </cell>
          <cell r="B241" t="str">
            <v>*</v>
          </cell>
          <cell r="C241" t="str">
            <v>CANTABRIA</v>
          </cell>
          <cell r="D241" t="str">
            <v>*</v>
          </cell>
          <cell r="E241">
            <v>5.2</v>
          </cell>
          <cell r="F241" t="str">
            <v>NC</v>
          </cell>
          <cell r="I241" t="str">
            <v>AÑO</v>
          </cell>
          <cell r="J241" t="str">
            <v>GRUPO</v>
          </cell>
          <cell r="K241" t="str">
            <v>SECTOR</v>
          </cell>
          <cell r="L241" t="str">
            <v>AGGTO</v>
          </cell>
          <cell r="M241" t="str">
            <v>CLASF</v>
          </cell>
          <cell r="N241" t="str">
            <v>CLASE</v>
          </cell>
          <cell r="O241" t="str">
            <v>TRIN</v>
          </cell>
        </row>
        <row r="242">
          <cell r="A242" t="str">
            <v>AÑO</v>
          </cell>
          <cell r="B242" t="str">
            <v>GRUPO</v>
          </cell>
          <cell r="C242" t="str">
            <v>SECTOR</v>
          </cell>
          <cell r="D242" t="str">
            <v>AGGTO</v>
          </cell>
          <cell r="E242" t="str">
            <v>CLASF</v>
          </cell>
          <cell r="F242" t="str">
            <v>TRIN</v>
          </cell>
          <cell r="I242">
            <v>2002</v>
          </cell>
          <cell r="J242" t="str">
            <v>*</v>
          </cell>
          <cell r="K242" t="str">
            <v>CANTABRIA</v>
          </cell>
          <cell r="L242" t="str">
            <v>*</v>
          </cell>
          <cell r="M242">
            <v>1.4</v>
          </cell>
          <cell r="N242" t="str">
            <v>B</v>
          </cell>
        </row>
        <row r="243">
          <cell r="A243">
            <v>2004</v>
          </cell>
          <cell r="B243" t="str">
            <v>*</v>
          </cell>
          <cell r="C243" t="str">
            <v>CANTABRIA</v>
          </cell>
          <cell r="D243" t="str">
            <v>*</v>
          </cell>
          <cell r="E243">
            <v>5.3</v>
          </cell>
        </row>
        <row r="244">
          <cell r="I244" t="str">
            <v>AÑO</v>
          </cell>
          <cell r="J244" t="str">
            <v>GRUPO</v>
          </cell>
          <cell r="K244" t="str">
            <v>SECTOR</v>
          </cell>
          <cell r="L244" t="str">
            <v>AGGTO</v>
          </cell>
          <cell r="M244" t="str">
            <v>CLASF</v>
          </cell>
          <cell r="N244" t="str">
            <v>CLASE</v>
          </cell>
          <cell r="O244" t="str">
            <v>TRIN</v>
          </cell>
        </row>
        <row r="245">
          <cell r="A245" t="str">
            <v>AÑO</v>
          </cell>
          <cell r="B245" t="str">
            <v>GRUPO</v>
          </cell>
          <cell r="C245" t="str">
            <v>SECTOR</v>
          </cell>
          <cell r="D245" t="str">
            <v>AGGTO</v>
          </cell>
          <cell r="E245" t="str">
            <v>CLASF</v>
          </cell>
          <cell r="F245" t="str">
            <v>TRIN</v>
          </cell>
          <cell r="I245">
            <v>2002</v>
          </cell>
          <cell r="J245" t="str">
            <v>*</v>
          </cell>
          <cell r="K245" t="str">
            <v>CANTABRIA</v>
          </cell>
          <cell r="L245" t="str">
            <v>*</v>
          </cell>
          <cell r="M245">
            <v>1.4</v>
          </cell>
          <cell r="N245" t="str">
            <v>C</v>
          </cell>
        </row>
        <row r="246">
          <cell r="A246">
            <v>2005</v>
          </cell>
          <cell r="B246" t="str">
            <v>*</v>
          </cell>
          <cell r="C246" t="str">
            <v>CANTABRIA</v>
          </cell>
          <cell r="D246" t="str">
            <v>*</v>
          </cell>
          <cell r="E246">
            <v>2.1</v>
          </cell>
        </row>
        <row r="247">
          <cell r="A247" t="str">
            <v>AÑO</v>
          </cell>
          <cell r="B247" t="str">
            <v>GRUPO</v>
          </cell>
          <cell r="C247" t="str">
            <v>SECTOR</v>
          </cell>
          <cell r="D247" t="str">
            <v>AGGTO</v>
          </cell>
          <cell r="E247" t="str">
            <v>CLASF</v>
          </cell>
          <cell r="F247" t="str">
            <v>TRIN</v>
          </cell>
        </row>
        <row r="248">
          <cell r="A248">
            <v>2005</v>
          </cell>
          <cell r="B248" t="str">
            <v>*</v>
          </cell>
          <cell r="C248" t="str">
            <v>CANTABRIA</v>
          </cell>
          <cell r="D248" t="str">
            <v>*</v>
          </cell>
          <cell r="E248">
            <v>2.2000000000000002</v>
          </cell>
        </row>
        <row r="249">
          <cell r="A249" t="str">
            <v>AÑO</v>
          </cell>
          <cell r="B249" t="str">
            <v>GRUPO</v>
          </cell>
          <cell r="C249" t="str">
            <v>SECTOR</v>
          </cell>
          <cell r="D249" t="str">
            <v>AGGTO</v>
          </cell>
          <cell r="E249" t="str">
            <v>CLASF</v>
          </cell>
          <cell r="F249" t="str">
            <v>TRIN</v>
          </cell>
        </row>
        <row r="250">
          <cell r="A250">
            <v>2005</v>
          </cell>
          <cell r="B250" t="str">
            <v>*</v>
          </cell>
          <cell r="C250" t="str">
            <v>CANTABRIA</v>
          </cell>
          <cell r="D250" t="str">
            <v>*</v>
          </cell>
          <cell r="E250">
            <v>2.2999999999999998</v>
          </cell>
        </row>
        <row r="251">
          <cell r="A251" t="str">
            <v>AÑO</v>
          </cell>
          <cell r="B251" t="str">
            <v>GRUPO</v>
          </cell>
          <cell r="C251" t="str">
            <v>SECTOR</v>
          </cell>
          <cell r="D251" t="str">
            <v>AGGTO</v>
          </cell>
          <cell r="E251" t="str">
            <v>CLASF</v>
          </cell>
          <cell r="F251" t="str">
            <v>TRIN</v>
          </cell>
        </row>
        <row r="252">
          <cell r="A252">
            <v>2005</v>
          </cell>
          <cell r="B252" t="str">
            <v>*</v>
          </cell>
          <cell r="C252" t="str">
            <v>CANTABRIA</v>
          </cell>
          <cell r="D252" t="str">
            <v>*</v>
          </cell>
          <cell r="E252">
            <v>2.4</v>
          </cell>
        </row>
        <row r="253">
          <cell r="A253" t="str">
            <v>AÑO</v>
          </cell>
          <cell r="B253" t="str">
            <v>GRUPO</v>
          </cell>
          <cell r="C253" t="str">
            <v>SECTOR</v>
          </cell>
          <cell r="D253" t="str">
            <v>AGGTO</v>
          </cell>
          <cell r="E253" t="str">
            <v>CLASF</v>
          </cell>
          <cell r="F253" t="str">
            <v>TRIN</v>
          </cell>
        </row>
        <row r="254">
          <cell r="A254">
            <v>2005</v>
          </cell>
          <cell r="B254" t="str">
            <v>*</v>
          </cell>
          <cell r="C254" t="str">
            <v>CANTABRIA</v>
          </cell>
          <cell r="D254" t="str">
            <v>*</v>
          </cell>
          <cell r="E254">
            <v>2.5</v>
          </cell>
        </row>
        <row r="255">
          <cell r="A255" t="str">
            <v>AÑO</v>
          </cell>
          <cell r="B255" t="str">
            <v>GRUPO</v>
          </cell>
          <cell r="C255" t="str">
            <v>SECTOR</v>
          </cell>
          <cell r="D255" t="str">
            <v>AGGTO</v>
          </cell>
          <cell r="E255" t="str">
            <v>CLASF</v>
          </cell>
          <cell r="F255" t="str">
            <v>TRIN</v>
          </cell>
        </row>
        <row r="256">
          <cell r="A256">
            <v>2005</v>
          </cell>
          <cell r="B256" t="str">
            <v>*</v>
          </cell>
          <cell r="C256" t="str">
            <v>CANTABRIA</v>
          </cell>
          <cell r="D256" t="str">
            <v>*</v>
          </cell>
          <cell r="E256">
            <v>3.1</v>
          </cell>
          <cell r="F256" t="str">
            <v>NC</v>
          </cell>
          <cell r="I256" t="str">
            <v>AÑO</v>
          </cell>
          <cell r="J256" t="str">
            <v>GRUPO</v>
          </cell>
          <cell r="K256" t="str">
            <v>SECTOR</v>
          </cell>
          <cell r="L256" t="str">
            <v>AGGTO</v>
          </cell>
          <cell r="M256" t="str">
            <v>CLASF</v>
          </cell>
          <cell r="N256" t="str">
            <v>CLASE</v>
          </cell>
          <cell r="O256" t="str">
            <v>TRIN</v>
          </cell>
        </row>
        <row r="257">
          <cell r="A257" t="str">
            <v>AÑO</v>
          </cell>
          <cell r="B257" t="str">
            <v>GRUPO</v>
          </cell>
          <cell r="C257" t="str">
            <v>SECTOR</v>
          </cell>
          <cell r="D257" t="str">
            <v>AGGTO</v>
          </cell>
          <cell r="E257" t="str">
            <v>CLASF</v>
          </cell>
          <cell r="F257" t="str">
            <v>TRIN</v>
          </cell>
          <cell r="I257">
            <v>2002</v>
          </cell>
          <cell r="J257" t="str">
            <v>*</v>
          </cell>
          <cell r="K257" t="str">
            <v>CANTABRIA</v>
          </cell>
          <cell r="L257" t="str">
            <v>*</v>
          </cell>
          <cell r="M257">
            <v>1.6</v>
          </cell>
          <cell r="N257" t="str">
            <v>A</v>
          </cell>
        </row>
        <row r="258">
          <cell r="A258">
            <v>2005</v>
          </cell>
          <cell r="B258" t="str">
            <v>*</v>
          </cell>
          <cell r="C258" t="str">
            <v>CANTABRIA</v>
          </cell>
          <cell r="D258" t="str">
            <v>*</v>
          </cell>
          <cell r="E258">
            <v>3.2</v>
          </cell>
          <cell r="F258" t="str">
            <v>NC</v>
          </cell>
        </row>
        <row r="259">
          <cell r="A259" t="str">
            <v>AÑO</v>
          </cell>
          <cell r="B259" t="str">
            <v>GRUPO</v>
          </cell>
          <cell r="C259" t="str">
            <v>SECTOR</v>
          </cell>
          <cell r="D259" t="str">
            <v>AGGTO</v>
          </cell>
          <cell r="E259" t="str">
            <v>CLASF</v>
          </cell>
          <cell r="F259" t="str">
            <v>TRIN</v>
          </cell>
          <cell r="I259" t="str">
            <v>AÑO</v>
          </cell>
          <cell r="J259" t="str">
            <v>GRUPO</v>
          </cell>
          <cell r="K259" t="str">
            <v>SECTOR</v>
          </cell>
          <cell r="L259" t="str">
            <v>AGGTO</v>
          </cell>
          <cell r="M259" t="str">
            <v>CLASF</v>
          </cell>
          <cell r="N259" t="str">
            <v>CLASE</v>
          </cell>
          <cell r="O259" t="str">
            <v>TRIN</v>
          </cell>
        </row>
        <row r="260">
          <cell r="A260">
            <v>2005</v>
          </cell>
          <cell r="B260" t="str">
            <v>*</v>
          </cell>
          <cell r="C260" t="str">
            <v>CANTABRIA</v>
          </cell>
          <cell r="D260" t="str">
            <v>*</v>
          </cell>
          <cell r="E260">
            <v>3.3</v>
          </cell>
          <cell r="I260">
            <v>2002</v>
          </cell>
          <cell r="J260" t="str">
            <v>*</v>
          </cell>
          <cell r="K260" t="str">
            <v>CANTABRIA</v>
          </cell>
          <cell r="L260" t="str">
            <v>*</v>
          </cell>
          <cell r="M260">
            <v>1.6</v>
          </cell>
          <cell r="N260" t="str">
            <v>B</v>
          </cell>
        </row>
        <row r="261">
          <cell r="A261" t="str">
            <v>AÑO</v>
          </cell>
          <cell r="B261" t="str">
            <v>GRUPO</v>
          </cell>
          <cell r="C261" t="str">
            <v>SECTOR</v>
          </cell>
          <cell r="D261" t="str">
            <v>AGGTO</v>
          </cell>
          <cell r="E261" t="str">
            <v>CLASF</v>
          </cell>
          <cell r="F261" t="str">
            <v>TRIN</v>
          </cell>
        </row>
        <row r="262">
          <cell r="A262">
            <v>2005</v>
          </cell>
          <cell r="B262" t="str">
            <v>*</v>
          </cell>
          <cell r="C262" t="str">
            <v>CANTABRIA</v>
          </cell>
          <cell r="D262" t="str">
            <v>*</v>
          </cell>
          <cell r="E262">
            <v>3.4</v>
          </cell>
          <cell r="I262" t="str">
            <v>AÑO</v>
          </cell>
          <cell r="J262" t="str">
            <v>GRUPO</v>
          </cell>
          <cell r="K262" t="str">
            <v>SECTOR</v>
          </cell>
          <cell r="L262" t="str">
            <v>AGGTO</v>
          </cell>
          <cell r="M262" t="str">
            <v>CLASF</v>
          </cell>
          <cell r="N262" t="str">
            <v>CLASE</v>
          </cell>
          <cell r="O262" t="str">
            <v>TRIN</v>
          </cell>
        </row>
        <row r="263">
          <cell r="A263" t="str">
            <v>AÑO</v>
          </cell>
          <cell r="B263" t="str">
            <v>GRUPO</v>
          </cell>
          <cell r="C263" t="str">
            <v>SECTOR</v>
          </cell>
          <cell r="D263" t="str">
            <v>AGGTO</v>
          </cell>
          <cell r="E263" t="str">
            <v>CLASF</v>
          </cell>
          <cell r="F263" t="str">
            <v>TRIN</v>
          </cell>
          <cell r="I263">
            <v>2002</v>
          </cell>
          <cell r="J263" t="str">
            <v>*</v>
          </cell>
          <cell r="K263" t="str">
            <v>CANTABRIA</v>
          </cell>
          <cell r="L263" t="str">
            <v>*</v>
          </cell>
          <cell r="M263">
            <v>1.6</v>
          </cell>
          <cell r="N263" t="str">
            <v>C</v>
          </cell>
        </row>
        <row r="264">
          <cell r="A264">
            <v>2005</v>
          </cell>
          <cell r="B264" t="str">
            <v>*</v>
          </cell>
          <cell r="C264" t="str">
            <v>CANTABRIA</v>
          </cell>
          <cell r="D264" t="str">
            <v>*</v>
          </cell>
          <cell r="E264">
            <v>5.0999999999999996</v>
          </cell>
        </row>
        <row r="265">
          <cell r="A265" t="str">
            <v>AÑO</v>
          </cell>
          <cell r="B265" t="str">
            <v>GRUPO</v>
          </cell>
          <cell r="C265" t="str">
            <v>SECTOR</v>
          </cell>
          <cell r="D265" t="str">
            <v>AGGTO</v>
          </cell>
          <cell r="E265" t="str">
            <v>CLASF</v>
          </cell>
          <cell r="F265" t="str">
            <v>TRIN</v>
          </cell>
          <cell r="I265" t="str">
            <v>AÑO</v>
          </cell>
          <cell r="J265" t="str">
            <v>GRUPO</v>
          </cell>
          <cell r="K265" t="str">
            <v>SECTOR</v>
          </cell>
          <cell r="L265" t="str">
            <v>AGGTO</v>
          </cell>
          <cell r="M265" t="str">
            <v>CLASF</v>
          </cell>
          <cell r="N265" t="str">
            <v>CLASE</v>
          </cell>
          <cell r="O265" t="str">
            <v>TRIN</v>
          </cell>
        </row>
        <row r="266">
          <cell r="A266">
            <v>2005</v>
          </cell>
          <cell r="B266" t="str">
            <v>*</v>
          </cell>
          <cell r="C266" t="str">
            <v>CANTABRIA</v>
          </cell>
          <cell r="D266" t="str">
            <v>*</v>
          </cell>
          <cell r="E266">
            <v>5.2</v>
          </cell>
          <cell r="F266" t="str">
            <v>NC</v>
          </cell>
          <cell r="I266">
            <v>2006</v>
          </cell>
          <cell r="J266" t="str">
            <v>*</v>
          </cell>
          <cell r="K266" t="str">
            <v>CANTABRIA</v>
          </cell>
          <cell r="L266" t="str">
            <v>*</v>
          </cell>
          <cell r="M266">
            <v>1.1000000000000001</v>
          </cell>
          <cell r="N266" t="str">
            <v>A</v>
          </cell>
        </row>
        <row r="267">
          <cell r="A267" t="str">
            <v>AÑO</v>
          </cell>
          <cell r="B267" t="str">
            <v>GRUPO</v>
          </cell>
          <cell r="C267" t="str">
            <v>SECTOR</v>
          </cell>
          <cell r="D267" t="str">
            <v>AGGTO</v>
          </cell>
          <cell r="E267" t="str">
            <v>CLASF</v>
          </cell>
          <cell r="F267" t="str">
            <v>TRIN</v>
          </cell>
        </row>
        <row r="268">
          <cell r="A268">
            <v>2005</v>
          </cell>
          <cell r="B268" t="str">
            <v>*</v>
          </cell>
          <cell r="C268" t="str">
            <v>CANTABRIA</v>
          </cell>
          <cell r="D268" t="str">
            <v>*</v>
          </cell>
          <cell r="E268">
            <v>5.3</v>
          </cell>
          <cell r="I268" t="str">
            <v>AÑO</v>
          </cell>
          <cell r="J268" t="str">
            <v>GRUPO</v>
          </cell>
          <cell r="K268" t="str">
            <v>SECTOR</v>
          </cell>
          <cell r="L268" t="str">
            <v>AGGTO</v>
          </cell>
          <cell r="M268" t="str">
            <v>CLASF</v>
          </cell>
          <cell r="N268" t="str">
            <v>CLASE</v>
          </cell>
          <cell r="O268" t="str">
            <v>TRIN</v>
          </cell>
        </row>
        <row r="269">
          <cell r="A269" t="str">
            <v>AÑO</v>
          </cell>
          <cell r="B269" t="str">
            <v>GRUPO</v>
          </cell>
          <cell r="C269" t="str">
            <v>SECTOR</v>
          </cell>
          <cell r="D269" t="str">
            <v>AGGTO</v>
          </cell>
          <cell r="E269" t="str">
            <v>CLASF</v>
          </cell>
          <cell r="F269" t="str">
            <v>TRIN</v>
          </cell>
          <cell r="I269">
            <v>2006</v>
          </cell>
          <cell r="J269" t="str">
            <v>*</v>
          </cell>
          <cell r="K269" t="str">
            <v>CANTABRIA</v>
          </cell>
          <cell r="L269" t="str">
            <v>*</v>
          </cell>
          <cell r="M269">
            <v>1.1000000000000001</v>
          </cell>
          <cell r="N269" t="str">
            <v>B</v>
          </cell>
        </row>
        <row r="270">
          <cell r="A270">
            <v>2002</v>
          </cell>
          <cell r="B270" t="str">
            <v>*</v>
          </cell>
          <cell r="C270" t="str">
            <v>CANTABRIA</v>
          </cell>
          <cell r="D270" t="str">
            <v>*</v>
          </cell>
          <cell r="E270">
            <v>2.12</v>
          </cell>
        </row>
        <row r="271">
          <cell r="A271" t="str">
            <v>AÑO</v>
          </cell>
          <cell r="B271" t="str">
            <v>GRUPO</v>
          </cell>
          <cell r="C271" t="str">
            <v>SECTOR</v>
          </cell>
          <cell r="D271" t="str">
            <v>AGGTO</v>
          </cell>
          <cell r="E271" t="str">
            <v>CLASF</v>
          </cell>
          <cell r="F271" t="str">
            <v>TRIN</v>
          </cell>
          <cell r="I271" t="str">
            <v>AÑO</v>
          </cell>
          <cell r="J271" t="str">
            <v>GRUPO</v>
          </cell>
          <cell r="K271" t="str">
            <v>SECTOR</v>
          </cell>
          <cell r="L271" t="str">
            <v>AGGTO</v>
          </cell>
          <cell r="M271" t="str">
            <v>CLASF</v>
          </cell>
          <cell r="N271" t="str">
            <v>CLASE</v>
          </cell>
          <cell r="O271" t="str">
            <v>TRIN</v>
          </cell>
        </row>
        <row r="272">
          <cell r="A272">
            <v>2006</v>
          </cell>
          <cell r="B272" t="str">
            <v>*</v>
          </cell>
          <cell r="C272" t="str">
            <v>CANTABRIA</v>
          </cell>
          <cell r="D272" t="str">
            <v>*</v>
          </cell>
          <cell r="E272">
            <v>2.12</v>
          </cell>
          <cell r="I272">
            <v>2006</v>
          </cell>
          <cell r="J272" t="str">
            <v>*</v>
          </cell>
          <cell r="K272" t="str">
            <v>CANTABRIA</v>
          </cell>
          <cell r="L272" t="str">
            <v>*</v>
          </cell>
          <cell r="M272">
            <v>1.1000000000000001</v>
          </cell>
          <cell r="N272" t="str">
            <v>C</v>
          </cell>
        </row>
        <row r="273">
          <cell r="A273" t="str">
            <v>AÑO</v>
          </cell>
          <cell r="B273" t="str">
            <v>GRUPO</v>
          </cell>
          <cell r="C273" t="str">
            <v>SECTOR</v>
          </cell>
          <cell r="D273" t="str">
            <v>AGGTO</v>
          </cell>
          <cell r="E273" t="str">
            <v>CLASF</v>
          </cell>
          <cell r="F273" t="str">
            <v>TRIN</v>
          </cell>
        </row>
        <row r="274">
          <cell r="A274">
            <v>2003</v>
          </cell>
          <cell r="B274" t="str">
            <v>*</v>
          </cell>
          <cell r="C274" t="str">
            <v>CANTABRIA</v>
          </cell>
          <cell r="D274" t="str">
            <v>*</v>
          </cell>
          <cell r="E274">
            <v>2.12</v>
          </cell>
          <cell r="I274" t="str">
            <v>AÑO</v>
          </cell>
          <cell r="J274" t="str">
            <v>GRUPO</v>
          </cell>
          <cell r="K274" t="str">
            <v>SECTOR</v>
          </cell>
          <cell r="L274" t="str">
            <v>AGGTO</v>
          </cell>
          <cell r="M274" t="str">
            <v>CLASF</v>
          </cell>
          <cell r="N274" t="str">
            <v>CLASE</v>
          </cell>
          <cell r="O274" t="str">
            <v>TRIN</v>
          </cell>
        </row>
        <row r="275">
          <cell r="A275" t="str">
            <v>AÑO</v>
          </cell>
          <cell r="B275" t="str">
            <v>GRUPO</v>
          </cell>
          <cell r="C275" t="str">
            <v>SECTOR</v>
          </cell>
          <cell r="D275" t="str">
            <v>AGGTO</v>
          </cell>
          <cell r="E275" t="str">
            <v>CLASF</v>
          </cell>
          <cell r="F275" t="str">
            <v>TRIN</v>
          </cell>
          <cell r="I275">
            <v>2006</v>
          </cell>
          <cell r="J275" t="str">
            <v>*</v>
          </cell>
          <cell r="K275" t="str">
            <v>CANTABRIA</v>
          </cell>
          <cell r="L275" t="str">
            <v>*</v>
          </cell>
          <cell r="M275">
            <v>1.2</v>
          </cell>
          <cell r="N275" t="str">
            <v>A</v>
          </cell>
        </row>
        <row r="276">
          <cell r="A276">
            <v>2004</v>
          </cell>
          <cell r="B276" t="str">
            <v>*</v>
          </cell>
          <cell r="C276" t="str">
            <v>CANTABRIA</v>
          </cell>
          <cell r="D276" t="str">
            <v>*</v>
          </cell>
          <cell r="E276">
            <v>2.12</v>
          </cell>
        </row>
        <row r="277">
          <cell r="A277" t="str">
            <v>AÑO</v>
          </cell>
          <cell r="B277" t="str">
            <v>GRUPO</v>
          </cell>
          <cell r="C277" t="str">
            <v>SECTOR</v>
          </cell>
          <cell r="D277" t="str">
            <v>AGGTO</v>
          </cell>
          <cell r="E277" t="str">
            <v>CLASF</v>
          </cell>
          <cell r="F277" t="str">
            <v>TRIN</v>
          </cell>
          <cell r="I277" t="str">
            <v>AÑO</v>
          </cell>
          <cell r="J277" t="str">
            <v>GRUPO</v>
          </cell>
          <cell r="K277" t="str">
            <v>SECTOR</v>
          </cell>
          <cell r="L277" t="str">
            <v>AGGTO</v>
          </cell>
          <cell r="M277" t="str">
            <v>CLASF</v>
          </cell>
          <cell r="N277" t="str">
            <v>CLASE</v>
          </cell>
          <cell r="O277" t="str">
            <v>TRIN</v>
          </cell>
        </row>
        <row r="278">
          <cell r="A278">
            <v>2005</v>
          </cell>
          <cell r="B278" t="str">
            <v>*</v>
          </cell>
          <cell r="C278" t="str">
            <v>CANTABRIA</v>
          </cell>
          <cell r="D278" t="str">
            <v>*</v>
          </cell>
          <cell r="E278">
            <v>2.12</v>
          </cell>
          <cell r="I278">
            <v>2006</v>
          </cell>
          <cell r="J278" t="str">
            <v>*</v>
          </cell>
          <cell r="K278" t="str">
            <v>CANTABRIA</v>
          </cell>
          <cell r="L278" t="str">
            <v>*</v>
          </cell>
          <cell r="M278">
            <v>1.2</v>
          </cell>
          <cell r="N278" t="str">
            <v>B</v>
          </cell>
        </row>
        <row r="280">
          <cell r="A280" t="str">
            <v>AÑO</v>
          </cell>
          <cell r="B280" t="str">
            <v>GRUPO</v>
          </cell>
          <cell r="C280" t="str">
            <v>SECTOR</v>
          </cell>
          <cell r="D280" t="str">
            <v>AGGTO</v>
          </cell>
          <cell r="E280" t="str">
            <v>FINTRANS</v>
          </cell>
          <cell r="I280" t="str">
            <v>AÑO</v>
          </cell>
          <cell r="J280" t="str">
            <v>GRUPO</v>
          </cell>
          <cell r="K280" t="str">
            <v>SECTOR</v>
          </cell>
          <cell r="L280" t="str">
            <v>AGGTO</v>
          </cell>
          <cell r="M280" t="str">
            <v>CLASF</v>
          </cell>
          <cell r="N280" t="str">
            <v>CLASE</v>
          </cell>
          <cell r="O280" t="str">
            <v>TRIN</v>
          </cell>
        </row>
        <row r="281">
          <cell r="A281">
            <v>2004</v>
          </cell>
          <cell r="B281" t="str">
            <v>*</v>
          </cell>
          <cell r="C281" t="str">
            <v>CANTABRIA</v>
          </cell>
          <cell r="D281" t="str">
            <v>*</v>
          </cell>
          <cell r="E281">
            <v>1.4</v>
          </cell>
          <cell r="I281">
            <v>2006</v>
          </cell>
          <cell r="J281" t="str">
            <v>*</v>
          </cell>
          <cell r="K281" t="str">
            <v>CANTABRIA</v>
          </cell>
          <cell r="L281" t="str">
            <v>*</v>
          </cell>
          <cell r="M281">
            <v>1.2</v>
          </cell>
          <cell r="N281" t="str">
            <v>C</v>
          </cell>
        </row>
        <row r="282">
          <cell r="A282" t="str">
            <v>AÑO</v>
          </cell>
          <cell r="B282" t="str">
            <v>GRUPO</v>
          </cell>
          <cell r="C282" t="str">
            <v>SECTOR</v>
          </cell>
          <cell r="D282" t="str">
            <v>AGGTO</v>
          </cell>
          <cell r="E282" t="str">
            <v>FINTRANS</v>
          </cell>
        </row>
        <row r="283">
          <cell r="A283">
            <v>2004</v>
          </cell>
          <cell r="B283" t="str">
            <v>*</v>
          </cell>
          <cell r="C283" t="str">
            <v>CANTABRIA</v>
          </cell>
          <cell r="D283" t="str">
            <v>*</v>
          </cell>
          <cell r="E283">
            <v>1.5</v>
          </cell>
          <cell r="I283" t="str">
            <v>AÑO</v>
          </cell>
          <cell r="J283" t="str">
            <v>GRUPO</v>
          </cell>
          <cell r="K283" t="str">
            <v>SECTOR</v>
          </cell>
          <cell r="L283" t="str">
            <v>AGGTO</v>
          </cell>
          <cell r="M283" t="str">
            <v>CLASF</v>
          </cell>
          <cell r="N283" t="str">
            <v>CLASE</v>
          </cell>
          <cell r="O283" t="str">
            <v>TRIN</v>
          </cell>
        </row>
        <row r="284">
          <cell r="A284" t="str">
            <v>AÑO</v>
          </cell>
          <cell r="B284" t="str">
            <v>GRUPO</v>
          </cell>
          <cell r="C284" t="str">
            <v>SECTOR</v>
          </cell>
          <cell r="D284" t="str">
            <v>AGGTO</v>
          </cell>
          <cell r="E284" t="str">
            <v>FINTRANS</v>
          </cell>
          <cell r="I284">
            <v>2006</v>
          </cell>
          <cell r="J284" t="str">
            <v>*</v>
          </cell>
          <cell r="K284" t="str">
            <v>CANTABRIA</v>
          </cell>
          <cell r="L284" t="str">
            <v>*</v>
          </cell>
          <cell r="M284">
            <v>1.3</v>
          </cell>
          <cell r="N284" t="str">
            <v>A</v>
          </cell>
        </row>
        <row r="285">
          <cell r="A285">
            <v>2004</v>
          </cell>
          <cell r="B285" t="str">
            <v>*</v>
          </cell>
          <cell r="C285" t="str">
            <v>CANTABRIA</v>
          </cell>
          <cell r="D285" t="str">
            <v>*</v>
          </cell>
          <cell r="E285">
            <v>1.6</v>
          </cell>
        </row>
        <row r="286">
          <cell r="A286" t="str">
            <v>AÑO</v>
          </cell>
          <cell r="B286" t="str">
            <v>GRUPO</v>
          </cell>
          <cell r="C286" t="str">
            <v>SECTOR</v>
          </cell>
          <cell r="D286" t="str">
            <v>AGGTO</v>
          </cell>
          <cell r="E286" t="str">
            <v>FINTRANS</v>
          </cell>
          <cell r="I286" t="str">
            <v>AÑO</v>
          </cell>
          <cell r="J286" t="str">
            <v>GRUPO</v>
          </cell>
          <cell r="K286" t="str">
            <v>SECTOR</v>
          </cell>
          <cell r="L286" t="str">
            <v>AGGTO</v>
          </cell>
          <cell r="M286" t="str">
            <v>CLASF</v>
          </cell>
          <cell r="N286" t="str">
            <v>CLASE</v>
          </cell>
          <cell r="O286" t="str">
            <v>TRIN</v>
          </cell>
        </row>
        <row r="287">
          <cell r="A287">
            <v>2004</v>
          </cell>
          <cell r="B287" t="str">
            <v>*</v>
          </cell>
          <cell r="C287" t="str">
            <v>CANTABRIA</v>
          </cell>
          <cell r="D287" t="str">
            <v>*</v>
          </cell>
          <cell r="E287">
            <v>2.1</v>
          </cell>
          <cell r="I287">
            <v>2006</v>
          </cell>
          <cell r="J287" t="str">
            <v>*</v>
          </cell>
          <cell r="K287" t="str">
            <v>CANTABRIA</v>
          </cell>
          <cell r="L287" t="str">
            <v>*</v>
          </cell>
          <cell r="M287">
            <v>1.3</v>
          </cell>
          <cell r="N287" t="str">
            <v>B</v>
          </cell>
        </row>
        <row r="288">
          <cell r="A288" t="str">
            <v>AÑO</v>
          </cell>
          <cell r="B288" t="str">
            <v>GRUPO</v>
          </cell>
          <cell r="C288" t="str">
            <v>SECTOR</v>
          </cell>
          <cell r="D288" t="str">
            <v>AGGTO</v>
          </cell>
          <cell r="E288" t="str">
            <v>FINTRANS</v>
          </cell>
        </row>
        <row r="289">
          <cell r="A289">
            <v>2004</v>
          </cell>
          <cell r="B289" t="str">
            <v>*</v>
          </cell>
          <cell r="C289" t="str">
            <v>CANTABRIA</v>
          </cell>
          <cell r="D289" t="str">
            <v>*</v>
          </cell>
          <cell r="E289">
            <v>2.2000000000000002</v>
          </cell>
          <cell r="I289" t="str">
            <v>AÑO</v>
          </cell>
          <cell r="J289" t="str">
            <v>GRUPO</v>
          </cell>
          <cell r="K289" t="str">
            <v>SECTOR</v>
          </cell>
          <cell r="L289" t="str">
            <v>AGGTO</v>
          </cell>
          <cell r="M289" t="str">
            <v>CLASF</v>
          </cell>
          <cell r="N289" t="str">
            <v>CLASE</v>
          </cell>
          <cell r="O289" t="str">
            <v>TRIN</v>
          </cell>
        </row>
        <row r="290">
          <cell r="A290" t="str">
            <v>AÑO</v>
          </cell>
          <cell r="B290" t="str">
            <v>GRUPO</v>
          </cell>
          <cell r="C290" t="str">
            <v>SECTOR</v>
          </cell>
          <cell r="D290" t="str">
            <v>AGGTO</v>
          </cell>
          <cell r="E290" t="str">
            <v>FINTRANS</v>
          </cell>
          <cell r="I290">
            <v>2006</v>
          </cell>
          <cell r="J290" t="str">
            <v>*</v>
          </cell>
          <cell r="K290" t="str">
            <v>CANTABRIA</v>
          </cell>
          <cell r="L290" t="str">
            <v>*</v>
          </cell>
          <cell r="M290">
            <v>1.3</v>
          </cell>
          <cell r="N290" t="str">
            <v>C</v>
          </cell>
        </row>
        <row r="291">
          <cell r="A291">
            <v>2005</v>
          </cell>
          <cell r="B291" t="str">
            <v>*</v>
          </cell>
          <cell r="C291" t="str">
            <v>CANTABRIA</v>
          </cell>
          <cell r="D291" t="str">
            <v>*</v>
          </cell>
          <cell r="E291">
            <v>1.4</v>
          </cell>
        </row>
        <row r="292">
          <cell r="A292" t="str">
            <v>AÑO</v>
          </cell>
          <cell r="B292" t="str">
            <v>GRUPO</v>
          </cell>
          <cell r="C292" t="str">
            <v>SECTOR</v>
          </cell>
          <cell r="D292" t="str">
            <v>AGGTO</v>
          </cell>
          <cell r="E292" t="str">
            <v>FINTRANS</v>
          </cell>
          <cell r="I292" t="str">
            <v>AÑO</v>
          </cell>
          <cell r="J292" t="str">
            <v>GRUPO</v>
          </cell>
          <cell r="K292" t="str">
            <v>SECTOR</v>
          </cell>
          <cell r="L292" t="str">
            <v>AGGTO</v>
          </cell>
          <cell r="M292" t="str">
            <v>CLASF</v>
          </cell>
          <cell r="N292" t="str">
            <v>CLASE</v>
          </cell>
          <cell r="O292" t="str">
            <v>TRIN</v>
          </cell>
        </row>
        <row r="293">
          <cell r="A293">
            <v>2005</v>
          </cell>
          <cell r="B293" t="str">
            <v>*</v>
          </cell>
          <cell r="C293" t="str">
            <v>CANTABRIA</v>
          </cell>
          <cell r="D293" t="str">
            <v>*</v>
          </cell>
          <cell r="E293">
            <v>1.5</v>
          </cell>
          <cell r="I293">
            <v>2006</v>
          </cell>
          <cell r="J293" t="str">
            <v>*</v>
          </cell>
          <cell r="K293" t="str">
            <v>CANTABRIA</v>
          </cell>
          <cell r="L293" t="str">
            <v>*</v>
          </cell>
          <cell r="M293">
            <v>1.4</v>
          </cell>
          <cell r="N293" t="str">
            <v>A</v>
          </cell>
        </row>
        <row r="294">
          <cell r="A294" t="str">
            <v>AÑO</v>
          </cell>
          <cell r="B294" t="str">
            <v>GRUPO</v>
          </cell>
          <cell r="C294" t="str">
            <v>SECTOR</v>
          </cell>
          <cell r="D294" t="str">
            <v>AGGTO</v>
          </cell>
          <cell r="E294" t="str">
            <v>FINTRANS</v>
          </cell>
        </row>
        <row r="295">
          <cell r="A295">
            <v>2005</v>
          </cell>
          <cell r="B295" t="str">
            <v>*</v>
          </cell>
          <cell r="C295" t="str">
            <v>CANTABRIA</v>
          </cell>
          <cell r="D295" t="str">
            <v>*</v>
          </cell>
          <cell r="E295">
            <v>1.6</v>
          </cell>
          <cell r="I295" t="str">
            <v>AÑO</v>
          </cell>
          <cell r="J295" t="str">
            <v>GRUPO</v>
          </cell>
          <cell r="K295" t="str">
            <v>SECTOR</v>
          </cell>
          <cell r="L295" t="str">
            <v>AGGTO</v>
          </cell>
          <cell r="M295" t="str">
            <v>CLASF</v>
          </cell>
          <cell r="N295" t="str">
            <v>CLASE</v>
          </cell>
          <cell r="O295" t="str">
            <v>TRIN</v>
          </cell>
        </row>
        <row r="296">
          <cell r="A296" t="str">
            <v>AÑO</v>
          </cell>
          <cell r="B296" t="str">
            <v>GRUPO</v>
          </cell>
          <cell r="C296" t="str">
            <v>SECTOR</v>
          </cell>
          <cell r="D296" t="str">
            <v>AGGTO</v>
          </cell>
          <cell r="E296" t="str">
            <v>FINTRANS</v>
          </cell>
          <cell r="I296">
            <v>2006</v>
          </cell>
          <cell r="J296" t="str">
            <v>*</v>
          </cell>
          <cell r="K296" t="str">
            <v>CANTABRIA</v>
          </cell>
          <cell r="L296" t="str">
            <v>*</v>
          </cell>
          <cell r="M296">
            <v>1.4</v>
          </cell>
          <cell r="N296" t="str">
            <v>B</v>
          </cell>
        </row>
        <row r="297">
          <cell r="A297">
            <v>2005</v>
          </cell>
          <cell r="B297" t="str">
            <v>*</v>
          </cell>
          <cell r="C297" t="str">
            <v>CANTABRIA</v>
          </cell>
          <cell r="D297" t="str">
            <v>*</v>
          </cell>
          <cell r="E297">
            <v>2.1</v>
          </cell>
        </row>
        <row r="298">
          <cell r="A298" t="str">
            <v>AÑO</v>
          </cell>
          <cell r="B298" t="str">
            <v>GRUPO</v>
          </cell>
          <cell r="C298" t="str">
            <v>SECTOR</v>
          </cell>
          <cell r="D298" t="str">
            <v>AGGTO</v>
          </cell>
          <cell r="E298" t="str">
            <v>FINTRANS</v>
          </cell>
          <cell r="I298" t="str">
            <v>AÑO</v>
          </cell>
          <cell r="J298" t="str">
            <v>GRUPO</v>
          </cell>
          <cell r="K298" t="str">
            <v>SECTOR</v>
          </cell>
          <cell r="L298" t="str">
            <v>AGGTO</v>
          </cell>
          <cell r="M298" t="str">
            <v>CLASF</v>
          </cell>
          <cell r="N298" t="str">
            <v>CLASE</v>
          </cell>
          <cell r="O298" t="str">
            <v>TRIN</v>
          </cell>
        </row>
        <row r="299">
          <cell r="A299">
            <v>2005</v>
          </cell>
          <cell r="B299" t="str">
            <v>*</v>
          </cell>
          <cell r="C299" t="str">
            <v>CANTABRIA</v>
          </cell>
          <cell r="D299" t="str">
            <v>*</v>
          </cell>
          <cell r="E299">
            <v>2.2000000000000002</v>
          </cell>
          <cell r="I299">
            <v>2006</v>
          </cell>
          <cell r="J299" t="str">
            <v>*</v>
          </cell>
          <cell r="K299" t="str">
            <v>CANTABRIA</v>
          </cell>
          <cell r="L299" t="str">
            <v>*</v>
          </cell>
          <cell r="M299">
            <v>1.4</v>
          </cell>
          <cell r="N299" t="str">
            <v>C</v>
          </cell>
        </row>
        <row r="300">
          <cell r="A300" t="str">
            <v>AÑO</v>
          </cell>
          <cell r="B300" t="str">
            <v>GRUPO</v>
          </cell>
          <cell r="C300" t="str">
            <v>SECTOR</v>
          </cell>
          <cell r="D300" t="str">
            <v>AGGTO</v>
          </cell>
          <cell r="E300" t="str">
            <v>FINTRANS</v>
          </cell>
        </row>
        <row r="301">
          <cell r="A301">
            <v>2002</v>
          </cell>
          <cell r="B301" t="str">
            <v>*</v>
          </cell>
          <cell r="C301" t="str">
            <v>CANTABRIA</v>
          </cell>
          <cell r="D301" t="str">
            <v>*</v>
          </cell>
          <cell r="E301">
            <v>1.4</v>
          </cell>
        </row>
        <row r="302">
          <cell r="A302" t="str">
            <v>AÑO</v>
          </cell>
          <cell r="B302" t="str">
            <v>GRUPO</v>
          </cell>
          <cell r="C302" t="str">
            <v>SECTOR</v>
          </cell>
          <cell r="D302" t="str">
            <v>AGGTO</v>
          </cell>
          <cell r="E302" t="str">
            <v>FINTRANS</v>
          </cell>
        </row>
        <row r="303">
          <cell r="A303">
            <v>2002</v>
          </cell>
          <cell r="B303" t="str">
            <v>*</v>
          </cell>
          <cell r="C303" t="str">
            <v>CANTABRIA</v>
          </cell>
          <cell r="D303" t="str">
            <v>*</v>
          </cell>
          <cell r="E303">
            <v>1.5</v>
          </cell>
        </row>
        <row r="304">
          <cell r="A304" t="str">
            <v>AÑO</v>
          </cell>
          <cell r="B304" t="str">
            <v>GRUPO</v>
          </cell>
          <cell r="C304" t="str">
            <v>SECTOR</v>
          </cell>
          <cell r="D304" t="str">
            <v>AGGTO</v>
          </cell>
          <cell r="E304" t="str">
            <v>FINTRANS</v>
          </cell>
        </row>
        <row r="305">
          <cell r="A305">
            <v>2002</v>
          </cell>
          <cell r="B305" t="str">
            <v>*</v>
          </cell>
          <cell r="C305" t="str">
            <v>CANTABRIA</v>
          </cell>
          <cell r="D305" t="str">
            <v>*</v>
          </cell>
          <cell r="E305">
            <v>1.6</v>
          </cell>
        </row>
        <row r="306">
          <cell r="A306" t="str">
            <v>AÑO</v>
          </cell>
          <cell r="B306" t="str">
            <v>GRUPO</v>
          </cell>
          <cell r="C306" t="str">
            <v>SECTOR</v>
          </cell>
          <cell r="D306" t="str">
            <v>AGGTO</v>
          </cell>
          <cell r="E306" t="str">
            <v>FINTRANS</v>
          </cell>
        </row>
        <row r="307">
          <cell r="A307">
            <v>2002</v>
          </cell>
          <cell r="B307" t="str">
            <v>*</v>
          </cell>
          <cell r="C307" t="str">
            <v>CANTABRIA</v>
          </cell>
          <cell r="D307" t="str">
            <v>*</v>
          </cell>
          <cell r="E307">
            <v>2.1</v>
          </cell>
        </row>
        <row r="308">
          <cell r="A308" t="str">
            <v>AÑO</v>
          </cell>
          <cell r="B308" t="str">
            <v>GRUPO</v>
          </cell>
          <cell r="C308" t="str">
            <v>SECTOR</v>
          </cell>
          <cell r="D308" t="str">
            <v>AGGTO</v>
          </cell>
          <cell r="E308" t="str">
            <v>FINTRANS</v>
          </cell>
        </row>
        <row r="309">
          <cell r="A309">
            <v>2002</v>
          </cell>
          <cell r="B309" t="str">
            <v>*</v>
          </cell>
          <cell r="C309" t="str">
            <v>CANTABRIA</v>
          </cell>
          <cell r="D309" t="str">
            <v>*</v>
          </cell>
          <cell r="E309">
            <v>2.2000000000000002</v>
          </cell>
        </row>
        <row r="310">
          <cell r="A310" t="str">
            <v>AÑO</v>
          </cell>
          <cell r="B310" t="str">
            <v>GRUPO</v>
          </cell>
          <cell r="C310" t="str">
            <v>SECTOR</v>
          </cell>
          <cell r="D310" t="str">
            <v>AGGTO</v>
          </cell>
          <cell r="E310" t="str">
            <v>FINTRANS</v>
          </cell>
          <cell r="I310" t="str">
            <v>AÑO</v>
          </cell>
          <cell r="J310" t="str">
            <v>GRUPO</v>
          </cell>
          <cell r="K310" t="str">
            <v>SECTOR</v>
          </cell>
          <cell r="L310" t="str">
            <v>AGGTO</v>
          </cell>
          <cell r="M310" t="str">
            <v>CLASF</v>
          </cell>
          <cell r="N310" t="str">
            <v>CLASE</v>
          </cell>
          <cell r="O310" t="str">
            <v>TRIN</v>
          </cell>
        </row>
        <row r="311">
          <cell r="A311">
            <v>2006</v>
          </cell>
          <cell r="B311" t="str">
            <v>*</v>
          </cell>
          <cell r="C311" t="str">
            <v>CANTABRIA</v>
          </cell>
          <cell r="D311" t="str">
            <v>*</v>
          </cell>
          <cell r="E311">
            <v>1.4</v>
          </cell>
          <cell r="I311">
            <v>2006</v>
          </cell>
          <cell r="J311" t="str">
            <v>*</v>
          </cell>
          <cell r="K311" t="str">
            <v>CANTABRIA</v>
          </cell>
          <cell r="L311" t="str">
            <v>*</v>
          </cell>
          <cell r="M311">
            <v>1.6</v>
          </cell>
          <cell r="N311" t="str">
            <v>A</v>
          </cell>
        </row>
        <row r="312">
          <cell r="A312" t="str">
            <v>AÑO</v>
          </cell>
          <cell r="B312" t="str">
            <v>GRUPO</v>
          </cell>
          <cell r="C312" t="str">
            <v>SECTOR</v>
          </cell>
          <cell r="D312" t="str">
            <v>AGGTO</v>
          </cell>
          <cell r="E312" t="str">
            <v>FINTRANS</v>
          </cell>
        </row>
        <row r="313">
          <cell r="A313">
            <v>2006</v>
          </cell>
          <cell r="B313" t="str">
            <v>*</v>
          </cell>
          <cell r="C313" t="str">
            <v>CANTABRIA</v>
          </cell>
          <cell r="D313" t="str">
            <v>*</v>
          </cell>
          <cell r="E313">
            <v>1.5</v>
          </cell>
          <cell r="I313" t="str">
            <v>AÑO</v>
          </cell>
          <cell r="J313" t="str">
            <v>GRUPO</v>
          </cell>
          <cell r="K313" t="str">
            <v>SECTOR</v>
          </cell>
          <cell r="L313" t="str">
            <v>AGGTO</v>
          </cell>
          <cell r="M313" t="str">
            <v>CLASF</v>
          </cell>
          <cell r="N313" t="str">
            <v>CLASE</v>
          </cell>
          <cell r="O313" t="str">
            <v>TRIN</v>
          </cell>
        </row>
        <row r="314">
          <cell r="A314" t="str">
            <v>AÑO</v>
          </cell>
          <cell r="B314" t="str">
            <v>GRUPO</v>
          </cell>
          <cell r="C314" t="str">
            <v>SECTOR</v>
          </cell>
          <cell r="D314" t="str">
            <v>AGGTO</v>
          </cell>
          <cell r="E314" t="str">
            <v>FINTRANS</v>
          </cell>
          <cell r="I314">
            <v>2006</v>
          </cell>
          <cell r="J314" t="str">
            <v>*</v>
          </cell>
          <cell r="K314" t="str">
            <v>CANTABRIA</v>
          </cell>
          <cell r="L314" t="str">
            <v>*</v>
          </cell>
          <cell r="M314">
            <v>1.6</v>
          </cell>
          <cell r="N314" t="str">
            <v>B</v>
          </cell>
        </row>
        <row r="315">
          <cell r="A315">
            <v>2006</v>
          </cell>
          <cell r="B315" t="str">
            <v>*</v>
          </cell>
          <cell r="C315" t="str">
            <v>CANTABRIA</v>
          </cell>
          <cell r="D315" t="str">
            <v>*</v>
          </cell>
          <cell r="E315">
            <v>1.6</v>
          </cell>
        </row>
        <row r="316">
          <cell r="A316" t="str">
            <v>AÑO</v>
          </cell>
          <cell r="B316" t="str">
            <v>GRUPO</v>
          </cell>
          <cell r="C316" t="str">
            <v>SECTOR</v>
          </cell>
          <cell r="D316" t="str">
            <v>AGGTO</v>
          </cell>
          <cell r="E316" t="str">
            <v>FINTRANS</v>
          </cell>
          <cell r="I316" t="str">
            <v>AÑO</v>
          </cell>
          <cell r="J316" t="str">
            <v>GRUPO</v>
          </cell>
          <cell r="K316" t="str">
            <v>SECTOR</v>
          </cell>
          <cell r="L316" t="str">
            <v>AGGTO</v>
          </cell>
          <cell r="M316" t="str">
            <v>CLASF</v>
          </cell>
          <cell r="N316" t="str">
            <v>CLASE</v>
          </cell>
          <cell r="O316" t="str">
            <v>TRIN</v>
          </cell>
        </row>
        <row r="317">
          <cell r="A317">
            <v>2006</v>
          </cell>
          <cell r="B317" t="str">
            <v>*</v>
          </cell>
          <cell r="C317" t="str">
            <v>CANTABRIA</v>
          </cell>
          <cell r="D317" t="str">
            <v>*</v>
          </cell>
          <cell r="E317">
            <v>2.1</v>
          </cell>
          <cell r="I317">
            <v>2006</v>
          </cell>
          <cell r="J317" t="str">
            <v>*</v>
          </cell>
          <cell r="K317" t="str">
            <v>CANTABRIA</v>
          </cell>
          <cell r="L317" t="str">
            <v>*</v>
          </cell>
          <cell r="M317">
            <v>1.6</v>
          </cell>
          <cell r="N317" t="str">
            <v>C</v>
          </cell>
        </row>
        <row r="318">
          <cell r="A318" t="str">
            <v>AÑO</v>
          </cell>
          <cell r="B318" t="str">
            <v>GRUPO</v>
          </cell>
          <cell r="C318" t="str">
            <v>SECTOR</v>
          </cell>
          <cell r="D318" t="str">
            <v>AGGTO</v>
          </cell>
          <cell r="E318" t="str">
            <v>FINTRANS</v>
          </cell>
        </row>
        <row r="319">
          <cell r="A319">
            <v>2006</v>
          </cell>
          <cell r="B319" t="str">
            <v>*</v>
          </cell>
          <cell r="C319" t="str">
            <v>CANTABRIA</v>
          </cell>
          <cell r="D319" t="str">
            <v>*</v>
          </cell>
          <cell r="E319">
            <v>2.2000000000000002</v>
          </cell>
        </row>
        <row r="320">
          <cell r="A320" t="str">
            <v>AÑO</v>
          </cell>
          <cell r="B320" t="str">
            <v>GRUPO</v>
          </cell>
          <cell r="C320" t="str">
            <v>SECTOR</v>
          </cell>
          <cell r="D320" t="str">
            <v>AGGTO</v>
          </cell>
          <cell r="E320" t="str">
            <v>FINTRANS</v>
          </cell>
        </row>
        <row r="321">
          <cell r="A321">
            <v>2003</v>
          </cell>
          <cell r="B321" t="str">
            <v>*</v>
          </cell>
          <cell r="C321" t="str">
            <v>CANTABRIA</v>
          </cell>
          <cell r="D321" t="str">
            <v>*</v>
          </cell>
          <cell r="E321">
            <v>1.4</v>
          </cell>
        </row>
        <row r="322">
          <cell r="A322" t="str">
            <v>AÑO</v>
          </cell>
          <cell r="B322" t="str">
            <v>GRUPO</v>
          </cell>
          <cell r="C322" t="str">
            <v>SECTOR</v>
          </cell>
          <cell r="D322" t="str">
            <v>AGGTO</v>
          </cell>
          <cell r="E322" t="str">
            <v>FINTRANS</v>
          </cell>
        </row>
        <row r="323">
          <cell r="A323">
            <v>2003</v>
          </cell>
          <cell r="B323" t="str">
            <v>*</v>
          </cell>
          <cell r="C323" t="str">
            <v>CANTABRIA</v>
          </cell>
          <cell r="D323" t="str">
            <v>*</v>
          </cell>
          <cell r="E323">
            <v>1.5</v>
          </cell>
        </row>
        <row r="324">
          <cell r="A324" t="str">
            <v>AÑO</v>
          </cell>
          <cell r="B324" t="str">
            <v>GRUPO</v>
          </cell>
          <cell r="C324" t="str">
            <v>SECTOR</v>
          </cell>
          <cell r="D324" t="str">
            <v>AGGTO</v>
          </cell>
          <cell r="E324" t="str">
            <v>FINTRANS</v>
          </cell>
        </row>
        <row r="325">
          <cell r="A325">
            <v>2003</v>
          </cell>
          <cell r="B325" t="str">
            <v>*</v>
          </cell>
          <cell r="C325" t="str">
            <v>CANTABRIA</v>
          </cell>
          <cell r="D325" t="str">
            <v>*</v>
          </cell>
          <cell r="E325">
            <v>1.6</v>
          </cell>
        </row>
        <row r="326">
          <cell r="A326" t="str">
            <v>AÑO</v>
          </cell>
          <cell r="B326" t="str">
            <v>GRUPO</v>
          </cell>
          <cell r="C326" t="str">
            <v>SECTOR</v>
          </cell>
          <cell r="D326" t="str">
            <v>AGGTO</v>
          </cell>
          <cell r="E326" t="str">
            <v>FINTRANS</v>
          </cell>
        </row>
        <row r="327">
          <cell r="A327">
            <v>2003</v>
          </cell>
          <cell r="B327" t="str">
            <v>*</v>
          </cell>
          <cell r="C327" t="str">
            <v>CANTABRIA</v>
          </cell>
          <cell r="D327" t="str">
            <v>*</v>
          </cell>
          <cell r="E327">
            <v>2.1</v>
          </cell>
        </row>
        <row r="328">
          <cell r="A328" t="str">
            <v>AÑO</v>
          </cell>
          <cell r="B328" t="str">
            <v>GRUPO</v>
          </cell>
          <cell r="C328" t="str">
            <v>SECTOR</v>
          </cell>
          <cell r="D328" t="str">
            <v>AGGTO</v>
          </cell>
          <cell r="E328" t="str">
            <v>FINTRANS</v>
          </cell>
        </row>
        <row r="329">
          <cell r="A329">
            <v>2003</v>
          </cell>
          <cell r="B329" t="str">
            <v>*</v>
          </cell>
          <cell r="C329" t="str">
            <v>CANTABRIA</v>
          </cell>
          <cell r="D329" t="str">
            <v>*</v>
          </cell>
          <cell r="E329">
            <v>2.2000000000000002</v>
          </cell>
        </row>
        <row r="331">
          <cell r="A331" t="str">
            <v>AÑO</v>
          </cell>
          <cell r="B331" t="str">
            <v>GRUPO</v>
          </cell>
          <cell r="C331" t="str">
            <v>SECTOR</v>
          </cell>
          <cell r="D331" t="str">
            <v>AGGTO</v>
          </cell>
          <cell r="E331" t="str">
            <v>FINTRANS</v>
          </cell>
        </row>
        <row r="332">
          <cell r="A332">
            <v>2002</v>
          </cell>
          <cell r="B332" t="str">
            <v>*</v>
          </cell>
          <cell r="C332" t="str">
            <v>CANTABRIA</v>
          </cell>
          <cell r="D332" t="str">
            <v>*</v>
          </cell>
          <cell r="E332">
            <v>1.1000000000000001</v>
          </cell>
        </row>
        <row r="333">
          <cell r="A333" t="str">
            <v>AÑO</v>
          </cell>
          <cell r="B333" t="str">
            <v>GRUPO</v>
          </cell>
          <cell r="C333" t="str">
            <v>SECTOR</v>
          </cell>
          <cell r="D333" t="str">
            <v>AGGTO</v>
          </cell>
          <cell r="E333" t="str">
            <v>FINTRANS</v>
          </cell>
        </row>
        <row r="334">
          <cell r="A334">
            <v>2006</v>
          </cell>
          <cell r="B334" t="str">
            <v>*</v>
          </cell>
          <cell r="C334" t="str">
            <v>CANTABRIA</v>
          </cell>
          <cell r="D334" t="str">
            <v>*</v>
          </cell>
          <cell r="E334">
            <v>1.1000000000000001</v>
          </cell>
        </row>
        <row r="335">
          <cell r="A335" t="str">
            <v>AÑO</v>
          </cell>
          <cell r="B335" t="str">
            <v>GRUPO</v>
          </cell>
          <cell r="C335" t="str">
            <v>SECTOR</v>
          </cell>
          <cell r="D335" t="str">
            <v>AGGTO</v>
          </cell>
          <cell r="E335" t="str">
            <v>FINTRANS</v>
          </cell>
        </row>
        <row r="336">
          <cell r="A336">
            <v>2003</v>
          </cell>
          <cell r="B336" t="str">
            <v>*</v>
          </cell>
          <cell r="C336" t="str">
            <v>CANTABRIA</v>
          </cell>
          <cell r="D336" t="str">
            <v>*</v>
          </cell>
          <cell r="E336">
            <v>1.1000000000000001</v>
          </cell>
        </row>
        <row r="337">
          <cell r="A337" t="str">
            <v>AÑO</v>
          </cell>
          <cell r="B337" t="str">
            <v>GRUPO</v>
          </cell>
          <cell r="C337" t="str">
            <v>SECTOR</v>
          </cell>
          <cell r="D337" t="str">
            <v>AGGTO</v>
          </cell>
          <cell r="E337" t="str">
            <v>FINTRANS</v>
          </cell>
        </row>
        <row r="338">
          <cell r="A338">
            <v>2004</v>
          </cell>
          <cell r="B338" t="str">
            <v>*</v>
          </cell>
          <cell r="C338" t="str">
            <v>CANTABRIA</v>
          </cell>
          <cell r="D338" t="str">
            <v>*</v>
          </cell>
          <cell r="E338">
            <v>1.1000000000000001</v>
          </cell>
        </row>
        <row r="339">
          <cell r="A339" t="str">
            <v>AÑO</v>
          </cell>
          <cell r="B339" t="str">
            <v>GRUPO</v>
          </cell>
          <cell r="C339" t="str">
            <v>SECTOR</v>
          </cell>
          <cell r="D339" t="str">
            <v>AGGTO</v>
          </cell>
          <cell r="E339" t="str">
            <v>FINTRANS</v>
          </cell>
        </row>
        <row r="340">
          <cell r="A340">
            <v>2005</v>
          </cell>
          <cell r="B340" t="str">
            <v>*</v>
          </cell>
          <cell r="C340" t="str">
            <v>CANTABRIA</v>
          </cell>
          <cell r="D340" t="str">
            <v>*</v>
          </cell>
          <cell r="E340">
            <v>1.1000000000000001</v>
          </cell>
        </row>
        <row r="342">
          <cell r="A342" t="str">
            <v>AÑO</v>
          </cell>
          <cell r="B342" t="str">
            <v>GRUPO</v>
          </cell>
          <cell r="C342" t="str">
            <v>SECTOR</v>
          </cell>
          <cell r="D342" t="str">
            <v>AGGTO</v>
          </cell>
          <cell r="E342" t="str">
            <v>FINTRANS</v>
          </cell>
        </row>
        <row r="343">
          <cell r="A343">
            <v>2002</v>
          </cell>
          <cell r="B343" t="str">
            <v>*</v>
          </cell>
          <cell r="C343" t="str">
            <v>CANTABRIA</v>
          </cell>
          <cell r="D343" t="str">
            <v>*</v>
          </cell>
          <cell r="E343">
            <v>1.2</v>
          </cell>
        </row>
        <row r="344">
          <cell r="A344" t="str">
            <v>AÑO</v>
          </cell>
          <cell r="B344" t="str">
            <v>GRUPO</v>
          </cell>
          <cell r="C344" t="str">
            <v>SECTOR</v>
          </cell>
          <cell r="D344" t="str">
            <v>AGGTO</v>
          </cell>
          <cell r="E344" t="str">
            <v>FINTRANS</v>
          </cell>
        </row>
        <row r="345">
          <cell r="A345">
            <v>2006</v>
          </cell>
          <cell r="B345" t="str">
            <v>*</v>
          </cell>
          <cell r="C345" t="str">
            <v>CANTABRIA</v>
          </cell>
          <cell r="D345" t="str">
            <v>*</v>
          </cell>
          <cell r="E345">
            <v>1.2</v>
          </cell>
        </row>
        <row r="346">
          <cell r="A346" t="str">
            <v>AÑO</v>
          </cell>
          <cell r="B346" t="str">
            <v>GRUPO</v>
          </cell>
          <cell r="C346" t="str">
            <v>SECTOR</v>
          </cell>
          <cell r="D346" t="str">
            <v>AGGTO</v>
          </cell>
          <cell r="E346" t="str">
            <v>FINTRANS</v>
          </cell>
        </row>
        <row r="347">
          <cell r="A347">
            <v>2003</v>
          </cell>
          <cell r="B347" t="str">
            <v>*</v>
          </cell>
          <cell r="C347" t="str">
            <v>CANTABRIA</v>
          </cell>
          <cell r="D347" t="str">
            <v>*</v>
          </cell>
          <cell r="E347">
            <v>1.2</v>
          </cell>
        </row>
        <row r="348">
          <cell r="A348" t="str">
            <v>AÑO</v>
          </cell>
          <cell r="B348" t="str">
            <v>GRUPO</v>
          </cell>
          <cell r="C348" t="str">
            <v>SECTOR</v>
          </cell>
          <cell r="D348" t="str">
            <v>AGGTO</v>
          </cell>
          <cell r="E348" t="str">
            <v>FINTRANS</v>
          </cell>
        </row>
        <row r="349">
          <cell r="A349">
            <v>2004</v>
          </cell>
          <cell r="B349" t="str">
            <v>*</v>
          </cell>
          <cell r="C349" t="str">
            <v>CANTABRIA</v>
          </cell>
          <cell r="D349" t="str">
            <v>*</v>
          </cell>
          <cell r="E349">
            <v>1.2</v>
          </cell>
        </row>
        <row r="350">
          <cell r="A350" t="str">
            <v>AÑO</v>
          </cell>
          <cell r="B350" t="str">
            <v>GRUPO</v>
          </cell>
          <cell r="C350" t="str">
            <v>SECTOR</v>
          </cell>
          <cell r="D350" t="str">
            <v>AGGTO</v>
          </cell>
          <cell r="E350" t="str">
            <v>FINTRANS</v>
          </cell>
        </row>
        <row r="351">
          <cell r="A351">
            <v>2005</v>
          </cell>
          <cell r="B351" t="str">
            <v>*</v>
          </cell>
          <cell r="C351" t="str">
            <v>CANTABRIA</v>
          </cell>
          <cell r="D351" t="str">
            <v>*</v>
          </cell>
          <cell r="E351">
            <v>1.2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BASEDAT"/>
      <sheetName val="SERIE_95_02"/>
    </sheetNames>
    <sheetDataSet>
      <sheetData sheetId="0">
        <row r="157">
          <cell r="I157" t="str">
            <v>AÑO</v>
          </cell>
          <cell r="J157" t="str">
            <v>GRUPO</v>
          </cell>
          <cell r="K157" t="str">
            <v>SECTOR</v>
          </cell>
          <cell r="L157" t="str">
            <v>AGGTO</v>
          </cell>
          <cell r="M157" t="str">
            <v>CLASF</v>
          </cell>
          <cell r="N157" t="str">
            <v>CLASE</v>
          </cell>
          <cell r="O157" t="str">
            <v>TRIN</v>
          </cell>
        </row>
        <row r="158">
          <cell r="I158">
            <v>1999</v>
          </cell>
          <cell r="J158" t="str">
            <v>*</v>
          </cell>
          <cell r="K158" t="str">
            <v>*</v>
          </cell>
          <cell r="L158" t="str">
            <v>*</v>
          </cell>
          <cell r="M158">
            <v>1.5</v>
          </cell>
          <cell r="N158" t="str">
            <v>A</v>
          </cell>
        </row>
        <row r="160">
          <cell r="I160" t="str">
            <v>AÑO</v>
          </cell>
          <cell r="J160" t="str">
            <v>GRUPO</v>
          </cell>
          <cell r="K160" t="str">
            <v>SECTOR</v>
          </cell>
          <cell r="L160" t="str">
            <v>AGGTO</v>
          </cell>
          <cell r="M160" t="str">
            <v>CLASF</v>
          </cell>
          <cell r="N160" t="str">
            <v>CLASE</v>
          </cell>
          <cell r="O160" t="str">
            <v>TRIN</v>
          </cell>
        </row>
        <row r="161">
          <cell r="I161">
            <v>1999</v>
          </cell>
          <cell r="J161" t="str">
            <v>*</v>
          </cell>
          <cell r="K161" t="str">
            <v>*</v>
          </cell>
          <cell r="L161" t="str">
            <v>*</v>
          </cell>
          <cell r="M161">
            <v>1.5</v>
          </cell>
          <cell r="N161" t="str">
            <v>B</v>
          </cell>
        </row>
        <row r="163">
          <cell r="I163" t="str">
            <v>AÑO</v>
          </cell>
          <cell r="J163" t="str">
            <v>GRUPO</v>
          </cell>
          <cell r="K163" t="str">
            <v>SECTOR</v>
          </cell>
          <cell r="L163" t="str">
            <v>AGGTO</v>
          </cell>
          <cell r="M163" t="str">
            <v>CLASF</v>
          </cell>
          <cell r="N163" t="str">
            <v>CLASE</v>
          </cell>
          <cell r="O163" t="str">
            <v>TRIN</v>
          </cell>
        </row>
        <row r="164">
          <cell r="I164">
            <v>1999</v>
          </cell>
          <cell r="J164" t="str">
            <v>*</v>
          </cell>
          <cell r="K164" t="str">
            <v>*</v>
          </cell>
          <cell r="L164" t="str">
            <v>*</v>
          </cell>
          <cell r="M164">
            <v>1.5</v>
          </cell>
          <cell r="N164" t="str">
            <v>C</v>
          </cell>
        </row>
        <row r="166">
          <cell r="I166" t="str">
            <v>AÑO</v>
          </cell>
          <cell r="J166" t="str">
            <v>GRUPO</v>
          </cell>
          <cell r="K166" t="str">
            <v>SECTOR</v>
          </cell>
          <cell r="L166" t="str">
            <v>AGGTO</v>
          </cell>
          <cell r="M166" t="str">
            <v>CLASF</v>
          </cell>
          <cell r="N166" t="str">
            <v>CLASE</v>
          </cell>
          <cell r="O166" t="str">
            <v>TRIN</v>
          </cell>
        </row>
        <row r="167">
          <cell r="I167">
            <v>2000</v>
          </cell>
          <cell r="J167" t="str">
            <v>*</v>
          </cell>
          <cell r="K167" t="str">
            <v>*</v>
          </cell>
          <cell r="L167" t="str">
            <v>*</v>
          </cell>
          <cell r="M167">
            <v>1.5</v>
          </cell>
          <cell r="N167" t="str">
            <v>A</v>
          </cell>
        </row>
        <row r="169">
          <cell r="I169" t="str">
            <v>AÑO</v>
          </cell>
          <cell r="J169" t="str">
            <v>GRUPO</v>
          </cell>
          <cell r="K169" t="str">
            <v>SECTOR</v>
          </cell>
          <cell r="L169" t="str">
            <v>AGGTO</v>
          </cell>
          <cell r="M169" t="str">
            <v>CLASF</v>
          </cell>
          <cell r="N169" t="str">
            <v>CLASE</v>
          </cell>
          <cell r="O169" t="str">
            <v>TRIN</v>
          </cell>
        </row>
        <row r="170">
          <cell r="I170">
            <v>2000</v>
          </cell>
          <cell r="J170" t="str">
            <v>*</v>
          </cell>
          <cell r="K170" t="str">
            <v>*</v>
          </cell>
          <cell r="L170" t="str">
            <v>*</v>
          </cell>
          <cell r="M170">
            <v>1.5</v>
          </cell>
          <cell r="N170" t="str">
            <v>B</v>
          </cell>
        </row>
        <row r="172">
          <cell r="I172" t="str">
            <v>AÑO</v>
          </cell>
          <cell r="J172" t="str">
            <v>GRUPO</v>
          </cell>
          <cell r="K172" t="str">
            <v>SECTOR</v>
          </cell>
          <cell r="L172" t="str">
            <v>AGGTO</v>
          </cell>
          <cell r="M172" t="str">
            <v>CLASF</v>
          </cell>
          <cell r="N172" t="str">
            <v>CLASE</v>
          </cell>
          <cell r="O172" t="str">
            <v>TRIN</v>
          </cell>
        </row>
        <row r="173">
          <cell r="I173">
            <v>2000</v>
          </cell>
          <cell r="J173" t="str">
            <v>*</v>
          </cell>
          <cell r="K173" t="str">
            <v>*</v>
          </cell>
          <cell r="L173" t="str">
            <v>*</v>
          </cell>
          <cell r="M173">
            <v>1.5</v>
          </cell>
          <cell r="N173" t="str">
            <v>C</v>
          </cell>
        </row>
        <row r="175">
          <cell r="I175" t="str">
            <v>AÑO</v>
          </cell>
          <cell r="J175" t="str">
            <v>GRUPO</v>
          </cell>
          <cell r="K175" t="str">
            <v>SECTOR</v>
          </cell>
          <cell r="L175" t="str">
            <v>AGGTO</v>
          </cell>
          <cell r="M175" t="str">
            <v>CLASF</v>
          </cell>
          <cell r="N175" t="str">
            <v>CLASE</v>
          </cell>
          <cell r="O175" t="str">
            <v>TRIN</v>
          </cell>
        </row>
        <row r="176">
          <cell r="I176">
            <v>2001</v>
          </cell>
          <cell r="J176" t="str">
            <v>*</v>
          </cell>
          <cell r="K176" t="str">
            <v>*</v>
          </cell>
          <cell r="L176" t="str">
            <v>*</v>
          </cell>
          <cell r="M176">
            <v>1.5</v>
          </cell>
          <cell r="N176" t="str">
            <v>A</v>
          </cell>
        </row>
        <row r="178">
          <cell r="I178" t="str">
            <v>AÑO</v>
          </cell>
          <cell r="J178" t="str">
            <v>GRUPO</v>
          </cell>
          <cell r="K178" t="str">
            <v>SECTOR</v>
          </cell>
          <cell r="L178" t="str">
            <v>AGGTO</v>
          </cell>
          <cell r="M178" t="str">
            <v>CLASF</v>
          </cell>
          <cell r="N178" t="str">
            <v>CLASE</v>
          </cell>
          <cell r="O178" t="str">
            <v>TRIN</v>
          </cell>
        </row>
        <row r="179">
          <cell r="I179">
            <v>2001</v>
          </cell>
          <cell r="J179" t="str">
            <v>*</v>
          </cell>
          <cell r="K179" t="str">
            <v>*</v>
          </cell>
          <cell r="L179" t="str">
            <v>*</v>
          </cell>
          <cell r="M179">
            <v>1.5</v>
          </cell>
          <cell r="N179" t="str">
            <v>B</v>
          </cell>
        </row>
        <row r="181">
          <cell r="I181" t="str">
            <v>AÑO</v>
          </cell>
          <cell r="J181" t="str">
            <v>GRUPO</v>
          </cell>
          <cell r="K181" t="str">
            <v>SECTOR</v>
          </cell>
          <cell r="L181" t="str">
            <v>AGGTO</v>
          </cell>
          <cell r="M181" t="str">
            <v>CLASF</v>
          </cell>
          <cell r="N181" t="str">
            <v>CLASE</v>
          </cell>
          <cell r="O181" t="str">
            <v>TRIN</v>
          </cell>
        </row>
        <row r="182">
          <cell r="I182">
            <v>2001</v>
          </cell>
          <cell r="J182" t="str">
            <v>*</v>
          </cell>
          <cell r="K182" t="str">
            <v>*</v>
          </cell>
          <cell r="L182" t="str">
            <v>*</v>
          </cell>
          <cell r="M182">
            <v>1.5</v>
          </cell>
          <cell r="N182" t="str">
            <v>C</v>
          </cell>
        </row>
        <row r="247">
          <cell r="I247" t="str">
            <v>AÑO</v>
          </cell>
          <cell r="J247" t="str">
            <v>GRUPO</v>
          </cell>
          <cell r="K247" t="str">
            <v>SECTOR</v>
          </cell>
          <cell r="L247" t="str">
            <v>AGGTO</v>
          </cell>
          <cell r="M247" t="str">
            <v>CLASF</v>
          </cell>
          <cell r="N247" t="str">
            <v>CLASE</v>
          </cell>
          <cell r="O247" t="str">
            <v>TRIN</v>
          </cell>
        </row>
        <row r="248">
          <cell r="I248">
            <v>2002</v>
          </cell>
          <cell r="J248" t="str">
            <v>*</v>
          </cell>
          <cell r="K248" t="str">
            <v>*</v>
          </cell>
          <cell r="L248" t="str">
            <v>*</v>
          </cell>
          <cell r="M248">
            <v>1.5</v>
          </cell>
          <cell r="N248" t="str">
            <v>A</v>
          </cell>
        </row>
        <row r="250">
          <cell r="I250" t="str">
            <v>AÑO</v>
          </cell>
          <cell r="J250" t="str">
            <v>GRUPO</v>
          </cell>
          <cell r="K250" t="str">
            <v>SECTOR</v>
          </cell>
          <cell r="L250" t="str">
            <v>AGGTO</v>
          </cell>
          <cell r="M250" t="str">
            <v>CLASF</v>
          </cell>
          <cell r="N250" t="str">
            <v>CLASE</v>
          </cell>
          <cell r="O250" t="str">
            <v>TRIN</v>
          </cell>
        </row>
        <row r="251">
          <cell r="I251">
            <v>2002</v>
          </cell>
          <cell r="J251" t="str">
            <v>*</v>
          </cell>
          <cell r="K251" t="str">
            <v>*</v>
          </cell>
          <cell r="L251" t="str">
            <v>*</v>
          </cell>
          <cell r="M251">
            <v>1.5</v>
          </cell>
          <cell r="N251" t="str">
            <v>B</v>
          </cell>
        </row>
        <row r="253">
          <cell r="I253" t="str">
            <v>AÑO</v>
          </cell>
          <cell r="J253" t="str">
            <v>GRUPO</v>
          </cell>
          <cell r="K253" t="str">
            <v>SECTOR</v>
          </cell>
          <cell r="L253" t="str">
            <v>AGGTO</v>
          </cell>
          <cell r="M253" t="str">
            <v>CLASF</v>
          </cell>
          <cell r="N253" t="str">
            <v>CLASE</v>
          </cell>
          <cell r="O253" t="str">
            <v>TRIN</v>
          </cell>
        </row>
        <row r="254">
          <cell r="I254">
            <v>2002</v>
          </cell>
          <cell r="J254" t="str">
            <v>*</v>
          </cell>
          <cell r="K254" t="str">
            <v>*</v>
          </cell>
          <cell r="L254" t="str">
            <v>*</v>
          </cell>
          <cell r="M254">
            <v>1.5</v>
          </cell>
          <cell r="N254" t="str">
            <v>C</v>
          </cell>
        </row>
        <row r="301">
          <cell r="I301" t="str">
            <v>AÑO</v>
          </cell>
          <cell r="J301" t="str">
            <v>GRUPO</v>
          </cell>
          <cell r="K301" t="str">
            <v>SECTOR</v>
          </cell>
          <cell r="L301" t="str">
            <v>AGGTO</v>
          </cell>
          <cell r="M301" t="str">
            <v>CLASF</v>
          </cell>
          <cell r="N301" t="str">
            <v>CLASE</v>
          </cell>
          <cell r="O301" t="str">
            <v>TRIN</v>
          </cell>
        </row>
        <row r="302">
          <cell r="I302">
            <v>1998</v>
          </cell>
          <cell r="J302" t="str">
            <v>*</v>
          </cell>
          <cell r="K302" t="str">
            <v>*</v>
          </cell>
          <cell r="L302" t="str">
            <v>*</v>
          </cell>
          <cell r="M302">
            <v>1.5</v>
          </cell>
          <cell r="N302" t="str">
            <v>A</v>
          </cell>
        </row>
        <row r="304">
          <cell r="I304" t="str">
            <v>AÑO</v>
          </cell>
          <cell r="J304" t="str">
            <v>GRUPO</v>
          </cell>
          <cell r="K304" t="str">
            <v>SECTOR</v>
          </cell>
          <cell r="L304" t="str">
            <v>AGGTO</v>
          </cell>
          <cell r="M304" t="str">
            <v>CLASF</v>
          </cell>
          <cell r="N304" t="str">
            <v>CLASE</v>
          </cell>
          <cell r="O304" t="str">
            <v>TRIN</v>
          </cell>
        </row>
        <row r="305">
          <cell r="I305">
            <v>1998</v>
          </cell>
          <cell r="J305" t="str">
            <v>*</v>
          </cell>
          <cell r="K305" t="str">
            <v>*</v>
          </cell>
          <cell r="L305" t="str">
            <v>*</v>
          </cell>
          <cell r="M305">
            <v>1.5</v>
          </cell>
          <cell r="N305" t="str">
            <v>B</v>
          </cell>
        </row>
        <row r="307">
          <cell r="I307" t="str">
            <v>AÑO</v>
          </cell>
          <cell r="J307" t="str">
            <v>GRUPO</v>
          </cell>
          <cell r="K307" t="str">
            <v>SECTOR</v>
          </cell>
          <cell r="L307" t="str">
            <v>AGGTO</v>
          </cell>
          <cell r="M307" t="str">
            <v>CLASF</v>
          </cell>
          <cell r="N307" t="str">
            <v>CLASE</v>
          </cell>
          <cell r="O307" t="str">
            <v>TRIN</v>
          </cell>
        </row>
        <row r="308">
          <cell r="I308">
            <v>1998</v>
          </cell>
          <cell r="J308" t="str">
            <v>*</v>
          </cell>
          <cell r="K308" t="str">
            <v>*</v>
          </cell>
          <cell r="L308" t="str">
            <v>*</v>
          </cell>
          <cell r="M308">
            <v>1.5</v>
          </cell>
          <cell r="N308" t="str">
            <v>C</v>
          </cell>
        </row>
        <row r="381">
          <cell r="I381" t="str">
            <v>AÑO</v>
          </cell>
          <cell r="J381" t="str">
            <v>GRUPO</v>
          </cell>
          <cell r="K381" t="str">
            <v>SECTOR</v>
          </cell>
          <cell r="L381" t="str">
            <v>AGGTO</v>
          </cell>
          <cell r="M381" t="str">
            <v>CLASF</v>
          </cell>
          <cell r="N381" t="str">
            <v>CLASE</v>
          </cell>
          <cell r="O381" t="str">
            <v>TRIN</v>
          </cell>
        </row>
        <row r="382">
          <cell r="I382">
            <v>2003</v>
          </cell>
          <cell r="J382" t="str">
            <v>*</v>
          </cell>
          <cell r="K382" t="str">
            <v>*</v>
          </cell>
          <cell r="L382" t="str">
            <v>*</v>
          </cell>
          <cell r="M382">
            <v>1.5</v>
          </cell>
          <cell r="N382" t="str">
            <v>A</v>
          </cell>
        </row>
        <row r="384">
          <cell r="I384" t="str">
            <v>AÑO</v>
          </cell>
          <cell r="J384" t="str">
            <v>GRUPO</v>
          </cell>
          <cell r="K384" t="str">
            <v>SECTOR</v>
          </cell>
          <cell r="L384" t="str">
            <v>AGGTO</v>
          </cell>
          <cell r="M384" t="str">
            <v>CLASF</v>
          </cell>
          <cell r="N384" t="str">
            <v>CLASE</v>
          </cell>
          <cell r="O384" t="str">
            <v>TRIN</v>
          </cell>
        </row>
        <row r="385">
          <cell r="I385">
            <v>2003</v>
          </cell>
          <cell r="J385" t="str">
            <v>*</v>
          </cell>
          <cell r="K385" t="str">
            <v>*</v>
          </cell>
          <cell r="L385" t="str">
            <v>*</v>
          </cell>
          <cell r="M385">
            <v>1.5</v>
          </cell>
          <cell r="N385" t="str">
            <v>B</v>
          </cell>
        </row>
        <row r="387">
          <cell r="I387" t="str">
            <v>AÑO</v>
          </cell>
          <cell r="J387" t="str">
            <v>GRUPO</v>
          </cell>
          <cell r="K387" t="str">
            <v>SECTOR</v>
          </cell>
          <cell r="L387" t="str">
            <v>AGGTO</v>
          </cell>
          <cell r="M387" t="str">
            <v>CLASF</v>
          </cell>
          <cell r="N387" t="str">
            <v>CLASE</v>
          </cell>
          <cell r="O387" t="str">
            <v>TRIN</v>
          </cell>
        </row>
        <row r="388">
          <cell r="I388">
            <v>2003</v>
          </cell>
          <cell r="J388" t="str">
            <v>*</v>
          </cell>
          <cell r="K388" t="str">
            <v>*</v>
          </cell>
          <cell r="L388" t="str">
            <v>*</v>
          </cell>
          <cell r="M388">
            <v>1.5</v>
          </cell>
          <cell r="N388" t="str">
            <v>C</v>
          </cell>
        </row>
      </sheetData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de escenarios"/>
      <sheetName val="Cuadro para pp"/>
      <sheetName val="Gráfico"/>
      <sheetName val="Todos los escenarios"/>
      <sheetName val="Coste muerte"/>
      <sheetName val="Demográfico puro"/>
      <sheetName val="Elasticidad renta"/>
      <sheetName val="Determinantes no demográficos"/>
      <sheetName val="Salud constante"/>
      <sheetName val="Intensidad de trabajo"/>
      <sheetName val="AWG de referencia"/>
      <sheetName val="AWG de riesgo"/>
      <sheetName val="Gasto Sanitario Ct muerte"/>
      <sheetName val="ct muerte EV=0 H fallec"/>
      <sheetName val="ct muerte EV=0 M fallec"/>
      <sheetName val="ct muerte EV=0 H superv"/>
      <sheetName val="ct muerte EV=0 M superv"/>
      <sheetName val="Gasto Sanitario pc"/>
      <sheetName val="Impacto EV=0 H"/>
      <sheetName val="Impacto EV=0 M (2)"/>
      <sheetName val="Impacto EV=0 M"/>
      <sheetName val="Impacto EV=1 H"/>
      <sheetName val="Impacto EV=1 M"/>
      <sheetName val="Impacto EV=0,5 H"/>
      <sheetName val="Impacto EV=0,5 M"/>
      <sheetName val="DatosMacro"/>
      <sheetName val="Escenario macro"/>
      <sheetName val="Esp. Vida H"/>
      <sheetName val="Esp. Vida M"/>
      <sheetName val="Poblacion"/>
      <sheetName val="Ocupados"/>
      <sheetName val="Horas trabajadas"/>
      <sheetName val="Superv H"/>
      <sheetName val="Superv M"/>
      <sheetName val="Fallec H"/>
      <sheetName val="Fallec M"/>
      <sheetName val="Tasa Mort H"/>
      <sheetName val="Tasa Mort M"/>
      <sheetName val="MacroecAssumptions"/>
      <sheetName val="EM(T)"/>
      <sheetName val="HoursWorked(T)"/>
      <sheetName val="Pop(F1)"/>
      <sheetName val="Pop(M1)"/>
      <sheetName val="Pop(T1)"/>
      <sheetName val="Pop(M)"/>
      <sheetName val="Pop(F)"/>
      <sheetName val="Pop(T)"/>
      <sheetName val="LifeExpectancy(M)"/>
      <sheetName val="LifeExpectancy(F)"/>
      <sheetName val="MortalityRate(M)"/>
      <sheetName val="MortalityRate(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64">
          <cell r="B164">
            <v>4.5060575941734946</v>
          </cell>
          <cell r="C164">
            <v>4.1687649630410828</v>
          </cell>
          <cell r="D164">
            <v>3.1106214347592283</v>
          </cell>
          <cell r="E164">
            <v>4.7925030315472759</v>
          </cell>
          <cell r="F164">
            <v>5.5971988172011908</v>
          </cell>
          <cell r="G164">
            <v>4.472584418536627</v>
          </cell>
          <cell r="H164">
            <v>3.3782768141059107</v>
          </cell>
          <cell r="I164">
            <v>4.1963692119835594</v>
          </cell>
          <cell r="J164">
            <v>4.8287815984754952</v>
          </cell>
          <cell r="K164">
            <v>5.1770149836377826</v>
          </cell>
          <cell r="L164">
            <v>3.6496331038291698</v>
          </cell>
          <cell r="M164">
            <v>3.1558315921670741</v>
          </cell>
          <cell r="N164">
            <v>4.5698439368371728</v>
          </cell>
          <cell r="O164">
            <v>4.0721929671660675</v>
          </cell>
          <cell r="P164">
            <v>5.5743528742740214</v>
          </cell>
          <cell r="Q164">
            <v>3.8258901784741091</v>
          </cell>
          <cell r="R164">
            <v>5.4356709515497084</v>
          </cell>
        </row>
        <row r="183">
          <cell r="B183">
            <v>5.0377368957844464</v>
          </cell>
          <cell r="C183">
            <v>3.5722557567747906</v>
          </cell>
          <cell r="D183">
            <v>3.4896750427224745</v>
          </cell>
          <cell r="E183">
            <v>3.6122973986057136</v>
          </cell>
          <cell r="F183">
            <v>6.3071363587214302</v>
          </cell>
          <cell r="G183">
            <v>4.6420888416136163</v>
          </cell>
          <cell r="H183">
            <v>3.9004133112269535</v>
          </cell>
          <cell r="I183">
            <v>4.4333903334539846</v>
          </cell>
          <cell r="J183">
            <v>4.3729878551613144</v>
          </cell>
          <cell r="K183">
            <v>4.5240463627174847</v>
          </cell>
          <cell r="L183">
            <v>5.0455062319853905</v>
          </cell>
          <cell r="M183">
            <v>3.4938996530016806</v>
          </cell>
          <cell r="N183">
            <v>3.9229011639904194</v>
          </cell>
          <cell r="O183">
            <v>3.8332551439318818</v>
          </cell>
          <cell r="P183">
            <v>4.4857797721458121</v>
          </cell>
          <cell r="Q183">
            <v>3.3711023648176384</v>
          </cell>
          <cell r="R183">
            <v>5.235747120965641</v>
          </cell>
        </row>
        <row r="202">
          <cell r="B202">
            <v>-0.51000016325317166</v>
          </cell>
          <cell r="C202">
            <v>0.62685061629499628</v>
          </cell>
          <cell r="D202">
            <v>-0.35540169665589522</v>
          </cell>
          <cell r="E202">
            <v>1.1814563453449389</v>
          </cell>
          <cell r="F202">
            <v>-0.68836129167197235</v>
          </cell>
          <cell r="G202">
            <v>-0.15577985708678493</v>
          </cell>
          <cell r="H202">
            <v>-0.51335345055441328</v>
          </cell>
          <cell r="I202">
            <v>-0.23296055498060414</v>
          </cell>
          <cell r="J202">
            <v>0.46515163279691241</v>
          </cell>
          <cell r="K202">
            <v>0.66210420511007873</v>
          </cell>
          <cell r="L202">
            <v>-1.3370260624334787</v>
          </cell>
          <cell r="M202">
            <v>-0.32808154129444778</v>
          </cell>
          <cell r="N202">
            <v>0.64814498595239711</v>
          </cell>
          <cell r="O202">
            <v>0.24029627727074901</v>
          </cell>
          <cell r="P202">
            <v>1.107791658905604</v>
          </cell>
          <cell r="Q202">
            <v>0.48028529149569937</v>
          </cell>
          <cell r="R202">
            <v>0.24506541848517802</v>
          </cell>
        </row>
      </sheetData>
    </sheetDataSet>
  </externalBook>
</externalLink>
</file>

<file path=xl/theme/theme1.xml><?xml version="1.0" encoding="utf-8"?>
<a:theme xmlns:a="http://schemas.openxmlformats.org/drawingml/2006/main" name="TemaAiref">
  <a:themeElements>
    <a:clrScheme name="AIREFv02-07">
      <a:dk1>
        <a:sysClr val="windowText" lastClr="000000"/>
      </a:dk1>
      <a:lt1>
        <a:sysClr val="window" lastClr="FFFFFF"/>
      </a:lt1>
      <a:dk2>
        <a:srgbClr val="97999B"/>
      </a:dk2>
      <a:lt2>
        <a:srgbClr val="FFFFFF"/>
      </a:lt2>
      <a:accent1>
        <a:srgbClr val="8C2633"/>
      </a:accent1>
      <a:accent2>
        <a:srgbClr val="CFD0D0"/>
      </a:accent2>
      <a:accent3>
        <a:srgbClr val="548CC6"/>
      </a:accent3>
      <a:accent4>
        <a:srgbClr val="FF7311"/>
      </a:accent4>
      <a:accent5>
        <a:srgbClr val="606263"/>
      </a:accent5>
      <a:accent6>
        <a:srgbClr val="F3D1D5"/>
      </a:accent6>
      <a:hlink>
        <a:srgbClr val="465E9C"/>
      </a:hlink>
      <a:folHlink>
        <a:srgbClr val="4B4C4E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D816-80F1-4D8C-9199-EEFBE5924A2E}">
  <dimension ref="B2:H34"/>
  <sheetViews>
    <sheetView showGridLines="0" tabSelected="1" zoomScale="75" zoomScaleNormal="75" workbookViewId="0">
      <selection activeCell="B15" sqref="B15"/>
    </sheetView>
  </sheetViews>
  <sheetFormatPr baseColWidth="10" defaultColWidth="11.85546875" defaultRowHeight="13.5" x14ac:dyDescent="0.25"/>
  <cols>
    <col min="1" max="1" width="5.7109375" style="1" customWidth="1"/>
    <col min="2" max="2" width="73.7109375" style="1" customWidth="1"/>
    <col min="3" max="3" width="54.42578125" style="1" customWidth="1"/>
    <col min="4" max="4" width="57.140625" style="1" customWidth="1"/>
    <col min="5" max="5" width="9.5703125" style="3" customWidth="1"/>
    <col min="6" max="6" width="12.7109375" style="2" customWidth="1"/>
    <col min="7" max="7" width="84" style="1" customWidth="1"/>
    <col min="8" max="8" width="74.5703125" style="2" customWidth="1"/>
    <col min="9" max="16384" width="11.85546875" style="1"/>
  </cols>
  <sheetData>
    <row r="2" spans="2:8" s="20" customFormat="1" ht="30.75" x14ac:dyDescent="0.25">
      <c r="B2" s="24" t="s">
        <v>26</v>
      </c>
      <c r="E2" s="23"/>
      <c r="F2" s="22"/>
      <c r="H2" s="21"/>
    </row>
    <row r="6" spans="2:8" s="18" customFormat="1" thickBot="1" x14ac:dyDescent="0.3">
      <c r="B6" s="19" t="s">
        <v>19</v>
      </c>
      <c r="C6" s="19" t="s">
        <v>18</v>
      </c>
      <c r="D6" s="19" t="s">
        <v>17</v>
      </c>
      <c r="E6" s="19" t="s">
        <v>16</v>
      </c>
      <c r="F6" s="19" t="s">
        <v>15</v>
      </c>
      <c r="G6" s="19" t="s">
        <v>14</v>
      </c>
      <c r="H6" s="19" t="s">
        <v>13</v>
      </c>
    </row>
    <row r="7" spans="2:8" s="9" customFormat="1" x14ac:dyDescent="0.25">
      <c r="B7" s="17"/>
      <c r="C7" s="17"/>
      <c r="D7" s="17"/>
      <c r="E7" s="16"/>
      <c r="F7" s="15"/>
      <c r="G7" s="14"/>
      <c r="H7" s="14"/>
    </row>
    <row r="8" spans="2:8" s="9" customFormat="1" x14ac:dyDescent="0.25">
      <c r="B8" s="11" t="s">
        <v>177</v>
      </c>
      <c r="C8" s="13"/>
      <c r="D8" s="13"/>
      <c r="E8" s="111"/>
      <c r="F8" s="112"/>
      <c r="G8" s="113"/>
      <c r="H8" s="113"/>
    </row>
    <row r="9" spans="2:8" s="9" customFormat="1" ht="15" x14ac:dyDescent="0.25">
      <c r="B9" s="110"/>
      <c r="C9" s="110"/>
      <c r="D9" s="110"/>
      <c r="E9" s="111">
        <v>12</v>
      </c>
      <c r="F9" s="114" t="s">
        <v>250</v>
      </c>
      <c r="G9" s="113" t="s">
        <v>252</v>
      </c>
      <c r="H9" s="4" t="s">
        <v>1</v>
      </c>
    </row>
    <row r="10" spans="2:8" s="9" customFormat="1" ht="27" customHeight="1" x14ac:dyDescent="0.25">
      <c r="E10" s="6">
        <v>12</v>
      </c>
      <c r="F10" s="8" t="s">
        <v>251</v>
      </c>
      <c r="G10" s="5" t="s">
        <v>253</v>
      </c>
      <c r="H10" s="4" t="s">
        <v>1</v>
      </c>
    </row>
    <row r="11" spans="2:8" s="9" customFormat="1" ht="27" customHeight="1" x14ac:dyDescent="0.25">
      <c r="E11" s="6">
        <v>16</v>
      </c>
      <c r="F11" s="8" t="s">
        <v>178</v>
      </c>
      <c r="G11" s="5" t="s">
        <v>35</v>
      </c>
      <c r="H11" s="4" t="s">
        <v>179</v>
      </c>
    </row>
    <row r="12" spans="2:8" s="9" customFormat="1" ht="27" customHeight="1" x14ac:dyDescent="0.25">
      <c r="B12" s="7"/>
      <c r="C12" s="12"/>
      <c r="D12" s="12"/>
      <c r="E12" s="6">
        <v>18</v>
      </c>
      <c r="F12" s="8" t="s">
        <v>180</v>
      </c>
      <c r="G12" s="5" t="s">
        <v>181</v>
      </c>
      <c r="H12" s="4" t="s">
        <v>179</v>
      </c>
    </row>
    <row r="13" spans="2:8" s="9" customFormat="1" ht="27" customHeight="1" x14ac:dyDescent="0.25">
      <c r="B13" s="7"/>
      <c r="C13" s="12"/>
      <c r="D13" s="12"/>
      <c r="E13" s="6">
        <v>18</v>
      </c>
      <c r="F13" s="8" t="s">
        <v>182</v>
      </c>
      <c r="G13" s="5" t="s">
        <v>183</v>
      </c>
      <c r="H13" s="4" t="s">
        <v>179</v>
      </c>
    </row>
    <row r="14" spans="2:8" s="9" customFormat="1" ht="27" customHeight="1" x14ac:dyDescent="0.25">
      <c r="B14" s="7"/>
      <c r="C14" s="12"/>
      <c r="D14" s="12"/>
      <c r="E14" s="6">
        <v>19</v>
      </c>
      <c r="F14" s="8" t="s">
        <v>184</v>
      </c>
      <c r="G14" s="5" t="s">
        <v>185</v>
      </c>
      <c r="H14" s="4" t="s">
        <v>186</v>
      </c>
    </row>
    <row r="15" spans="2:8" s="9" customFormat="1" ht="27" customHeight="1" x14ac:dyDescent="0.25">
      <c r="B15" s="7"/>
      <c r="C15" s="12"/>
      <c r="D15" s="12"/>
      <c r="E15" s="6">
        <v>19</v>
      </c>
      <c r="F15" s="8" t="s">
        <v>187</v>
      </c>
      <c r="G15" s="5" t="s">
        <v>188</v>
      </c>
      <c r="H15" s="4" t="s">
        <v>186</v>
      </c>
    </row>
    <row r="16" spans="2:8" s="9" customFormat="1" ht="27" customHeight="1" x14ac:dyDescent="0.25">
      <c r="B16" s="7"/>
      <c r="C16" s="12"/>
      <c r="D16" s="12"/>
      <c r="E16" s="6">
        <v>21</v>
      </c>
      <c r="F16" s="8" t="s">
        <v>189</v>
      </c>
      <c r="G16" s="5" t="s">
        <v>61</v>
      </c>
      <c r="H16" s="4" t="s">
        <v>190</v>
      </c>
    </row>
    <row r="17" spans="2:8" s="9" customFormat="1" ht="27" customHeight="1" x14ac:dyDescent="0.25">
      <c r="B17" s="7"/>
      <c r="C17" s="12"/>
      <c r="D17" s="12"/>
      <c r="E17" s="6">
        <v>22</v>
      </c>
      <c r="F17" s="8" t="s">
        <v>191</v>
      </c>
      <c r="G17" s="5" t="s">
        <v>64</v>
      </c>
      <c r="H17" s="4" t="s">
        <v>192</v>
      </c>
    </row>
    <row r="18" spans="2:8" s="9" customFormat="1" ht="27" customHeight="1" x14ac:dyDescent="0.25">
      <c r="B18" s="7"/>
      <c r="C18" s="12"/>
      <c r="D18" s="12"/>
      <c r="E18" s="6">
        <v>23</v>
      </c>
      <c r="F18" s="8" t="s">
        <v>193</v>
      </c>
      <c r="G18" s="5" t="s">
        <v>194</v>
      </c>
      <c r="H18" s="4" t="s">
        <v>192</v>
      </c>
    </row>
    <row r="19" spans="2:8" s="9" customFormat="1" ht="27" customHeight="1" x14ac:dyDescent="0.25">
      <c r="B19" s="7"/>
      <c r="C19" s="12"/>
      <c r="D19" s="12"/>
      <c r="E19" s="6">
        <v>24</v>
      </c>
      <c r="F19" s="8" t="s">
        <v>195</v>
      </c>
      <c r="G19" s="5" t="s">
        <v>196</v>
      </c>
      <c r="H19" s="4" t="s">
        <v>1</v>
      </c>
    </row>
    <row r="20" spans="2:8" s="9" customFormat="1" ht="27" customHeight="1" x14ac:dyDescent="0.25">
      <c r="B20" s="7"/>
      <c r="C20" s="12"/>
      <c r="D20" s="12"/>
      <c r="E20" s="6">
        <v>25</v>
      </c>
      <c r="F20" s="8" t="s">
        <v>197</v>
      </c>
      <c r="G20" s="5" t="s">
        <v>198</v>
      </c>
      <c r="H20" s="4" t="s">
        <v>199</v>
      </c>
    </row>
    <row r="21" spans="2:8" s="9" customFormat="1" ht="27" customHeight="1" x14ac:dyDescent="0.25">
      <c r="B21" s="7"/>
      <c r="C21" s="12"/>
      <c r="D21" s="12"/>
      <c r="E21" s="6">
        <v>25</v>
      </c>
      <c r="F21" s="8" t="s">
        <v>12</v>
      </c>
      <c r="G21" s="5" t="s">
        <v>200</v>
      </c>
      <c r="H21" s="4" t="s">
        <v>201</v>
      </c>
    </row>
    <row r="22" spans="2:8" s="9" customFormat="1" ht="27" customHeight="1" x14ac:dyDescent="0.25">
      <c r="B22" s="7"/>
      <c r="C22" s="12"/>
      <c r="D22" s="12"/>
      <c r="E22" s="6">
        <v>26</v>
      </c>
      <c r="F22" s="8" t="s">
        <v>11</v>
      </c>
      <c r="G22" s="5" t="s">
        <v>202</v>
      </c>
      <c r="H22" s="4" t="s">
        <v>201</v>
      </c>
    </row>
    <row r="23" spans="2:8" s="9" customFormat="1" ht="27" customHeight="1" x14ac:dyDescent="0.25">
      <c r="B23" s="7"/>
      <c r="C23" s="12"/>
      <c r="D23" s="12"/>
      <c r="E23" s="6">
        <v>28</v>
      </c>
      <c r="F23" s="8" t="s">
        <v>254</v>
      </c>
      <c r="G23" s="5" t="s">
        <v>256</v>
      </c>
      <c r="H23" s="4" t="s">
        <v>1</v>
      </c>
    </row>
    <row r="24" spans="2:8" s="9" customFormat="1" ht="27" customHeight="1" x14ac:dyDescent="0.25">
      <c r="B24" s="7"/>
      <c r="C24" s="12"/>
      <c r="D24" s="12"/>
      <c r="E24" s="6">
        <v>28</v>
      </c>
      <c r="F24" s="8" t="s">
        <v>255</v>
      </c>
      <c r="G24" s="5" t="s">
        <v>257</v>
      </c>
      <c r="H24" s="4" t="s">
        <v>1</v>
      </c>
    </row>
    <row r="25" spans="2:8" s="9" customFormat="1" ht="27" customHeight="1" x14ac:dyDescent="0.25">
      <c r="B25" s="11" t="s">
        <v>203</v>
      </c>
      <c r="C25" s="13"/>
      <c r="D25" s="13"/>
      <c r="E25" s="6">
        <v>30</v>
      </c>
      <c r="F25" s="8" t="s">
        <v>10</v>
      </c>
      <c r="G25" s="5" t="s">
        <v>204</v>
      </c>
      <c r="H25" s="4" t="s">
        <v>205</v>
      </c>
    </row>
    <row r="26" spans="2:8" s="9" customFormat="1" ht="27" customHeight="1" x14ac:dyDescent="0.25">
      <c r="B26" s="7"/>
      <c r="C26" s="12"/>
      <c r="D26" s="12"/>
      <c r="E26" s="6">
        <v>31</v>
      </c>
      <c r="F26" s="8" t="s">
        <v>9</v>
      </c>
      <c r="G26" s="5" t="s">
        <v>108</v>
      </c>
      <c r="H26" s="4" t="s">
        <v>205</v>
      </c>
    </row>
    <row r="27" spans="2:8" s="9" customFormat="1" ht="27" customHeight="1" x14ac:dyDescent="0.25">
      <c r="B27" s="7"/>
      <c r="C27" s="12"/>
      <c r="D27" s="12"/>
      <c r="E27" s="6">
        <v>32</v>
      </c>
      <c r="F27" s="8" t="s">
        <v>8</v>
      </c>
      <c r="G27" s="5" t="s">
        <v>206</v>
      </c>
      <c r="H27" s="4" t="s">
        <v>199</v>
      </c>
    </row>
    <row r="28" spans="2:8" s="9" customFormat="1" ht="27" customHeight="1" x14ac:dyDescent="0.25">
      <c r="B28" s="7"/>
      <c r="C28" s="12"/>
      <c r="D28" s="12"/>
      <c r="E28" s="6">
        <v>33</v>
      </c>
      <c r="F28" s="8" t="s">
        <v>7</v>
      </c>
      <c r="G28" s="5" t="s">
        <v>207</v>
      </c>
      <c r="H28" s="4" t="s">
        <v>208</v>
      </c>
    </row>
    <row r="29" spans="2:8" s="9" customFormat="1" ht="27" customHeight="1" x14ac:dyDescent="0.25">
      <c r="B29" s="7"/>
      <c r="C29" s="12"/>
      <c r="D29" s="12"/>
      <c r="E29" s="6">
        <v>34</v>
      </c>
      <c r="F29" s="8" t="s">
        <v>6</v>
      </c>
      <c r="G29" s="5" t="s">
        <v>209</v>
      </c>
      <c r="H29" s="4" t="s">
        <v>208</v>
      </c>
    </row>
    <row r="30" spans="2:8" s="9" customFormat="1" ht="27" customHeight="1" x14ac:dyDescent="0.25">
      <c r="B30" s="7"/>
      <c r="C30" s="12"/>
      <c r="D30" s="12"/>
      <c r="E30" s="6">
        <v>36</v>
      </c>
      <c r="F30" s="8" t="s">
        <v>258</v>
      </c>
      <c r="G30" s="5" t="s">
        <v>259</v>
      </c>
      <c r="H30" s="4" t="s">
        <v>1</v>
      </c>
    </row>
    <row r="31" spans="2:8" s="9" customFormat="1" ht="27" customHeight="1" x14ac:dyDescent="0.25">
      <c r="B31" s="11" t="s">
        <v>210</v>
      </c>
      <c r="C31" s="13"/>
      <c r="D31" s="13"/>
      <c r="E31" s="6">
        <v>37</v>
      </c>
      <c r="F31" s="8" t="s">
        <v>5</v>
      </c>
      <c r="G31" s="5" t="s">
        <v>144</v>
      </c>
      <c r="H31" s="4" t="s">
        <v>211</v>
      </c>
    </row>
    <row r="32" spans="2:8" s="9" customFormat="1" ht="27" customHeight="1" x14ac:dyDescent="0.25">
      <c r="B32" s="7"/>
      <c r="C32" s="12"/>
      <c r="D32" s="12"/>
      <c r="E32" s="6">
        <v>38</v>
      </c>
      <c r="F32" s="8" t="s">
        <v>4</v>
      </c>
      <c r="G32" s="5" t="s">
        <v>172</v>
      </c>
      <c r="H32" s="4" t="s">
        <v>212</v>
      </c>
    </row>
    <row r="33" spans="2:8" s="9" customFormat="1" ht="27" customHeight="1" x14ac:dyDescent="0.25">
      <c r="B33" s="7"/>
      <c r="C33" s="12"/>
      <c r="D33" s="12"/>
      <c r="E33" s="6">
        <v>39</v>
      </c>
      <c r="F33" s="8" t="s">
        <v>213</v>
      </c>
      <c r="G33" s="5" t="s">
        <v>214</v>
      </c>
      <c r="H33" s="4" t="s">
        <v>212</v>
      </c>
    </row>
    <row r="34" spans="2:8" s="9" customFormat="1" ht="27" customHeight="1" x14ac:dyDescent="0.25">
      <c r="B34" s="7"/>
      <c r="C34" s="12"/>
      <c r="D34" s="12"/>
      <c r="E34" s="6">
        <v>40</v>
      </c>
      <c r="F34" s="8" t="s">
        <v>3</v>
      </c>
      <c r="G34" s="5" t="s">
        <v>169</v>
      </c>
      <c r="H34" s="4" t="s">
        <v>215</v>
      </c>
    </row>
  </sheetData>
  <hyperlinks>
    <hyperlink ref="F11" location="'Gráficos 3, 4, 5, 9, 10 y  12'!A1" display="Gráfico 3" xr:uid="{C958FE81-3C88-47DB-A2B7-CD0158DEA5FC}"/>
    <hyperlink ref="F12" location="'Gráficos 3, 4, 5, 9, 10 y  12'!A1" display="Gráfico 4" xr:uid="{DA299811-623E-4976-A06B-609C089BA8DD}"/>
    <hyperlink ref="F13" location="'Gráficos 3, 4, 5, 9, 10 y  12'!A1" display="Gráfico 5" xr:uid="{BFD73A5C-46D9-4B5C-B10E-193170E513A4}"/>
    <hyperlink ref="F14" location="'Gráficos 6 y 7'!A1" display="Gráfico 6" xr:uid="{58DF4380-4072-4A8E-8338-44297D650BD1}"/>
    <hyperlink ref="F15" location="'Gráficos 6 y 7'!A1" display="Gráfico 7" xr:uid="{69A6D889-9C3D-4A28-9FA4-9364DD2C9284}"/>
    <hyperlink ref="F16" location="'Gráfico 8'!A1" display="Gráfico 8" xr:uid="{F70FC969-967E-4223-A91C-647D24A6D5F7}"/>
    <hyperlink ref="F17" location="'Gráficos 3, 4, 5, 9, 10 y  12'!A1" display="Gráfico 9" xr:uid="{9E30B6D1-1382-482B-8A8E-D1FFA6073080}"/>
    <hyperlink ref="F18" location="'Gráficos 3, 4, 5, 9, 10 y  12'!A1" display="Gráfico 10" xr:uid="{E88459BC-F750-47C3-9B5D-870081EE7748}"/>
    <hyperlink ref="F19" location="'Gráfico 11'!A1" display="Gráfico 11" xr:uid="{9119FF30-044D-40C6-BCAD-7A984135F796}"/>
    <hyperlink ref="F20" location="'Gráficos 3, 4, 5, 9, 10 y  12'!A1" display="Gráfico 12" xr:uid="{75174947-6219-4F6D-985D-3F7F2B295BA7}"/>
    <hyperlink ref="F21" location="'Gráfico 13'!A1" display="Gráfico 13" xr:uid="{48A9B8E7-EE7B-4623-BF5A-761588949E06}"/>
    <hyperlink ref="F22" location="'Gráfico 14'!A1" display="Gráfico 14" xr:uid="{D187CCDA-CCF3-4965-9296-B2B41F3F8510}"/>
    <hyperlink ref="F25" location="'Gráfico 17'!A1" display="Gráfico 17" xr:uid="{71171C1E-A69C-4354-B5F0-DCB9C77011EC}"/>
    <hyperlink ref="F26" location="'Gráfico 18'!A1" display="Gráfico 18" xr:uid="{97797CE4-B9C1-469C-A114-CF3F5D832709}"/>
    <hyperlink ref="F27" location="'Gráfico 19'!A1" display="Gráfico 19" xr:uid="{A152D61D-A5CC-450A-8A5F-B0C28BE4AE0D}"/>
    <hyperlink ref="F28" location="'Gráfico 20'!A1" display="Gráfico 20" xr:uid="{9D89BF52-4B39-41D4-B355-CD7A65AC0660}"/>
    <hyperlink ref="F29" location="'Gráfico 21'!A1" display="Gráfico 21" xr:uid="{E924750E-B5B5-4CD4-9ACD-53147180EC22}"/>
    <hyperlink ref="F31" location="'Gráfico 23'!A1" display="Gráfico 23" xr:uid="{E3460178-683B-4787-895F-615DB9A7EA54}"/>
    <hyperlink ref="F9" location="'Gráficos 1, 2, 15, 16 y 22'!A1" display="Gráfico 1" xr:uid="{BCF65B40-2176-4E44-83BD-7C48BF5E9903}"/>
    <hyperlink ref="F10" location="'Gráficos 1, 2, 15, 16 y 22'!A1" display="Gráfico 2" xr:uid="{BE8F8047-F218-4A78-B56F-E1FD38C8ED85}"/>
    <hyperlink ref="F23" location="'Gráficos 1, 2, 15, 16 y 22'!A1" display="Gráfico 15" xr:uid="{16758E5B-8AF5-4F4D-810D-7F64FFCB10F4}"/>
    <hyperlink ref="F24" location="'Gráficos 1, 2, 15, 16 y 22'!A1" display="Gráfico 16" xr:uid="{BFE301EB-8C73-42FD-8DD5-AA8D6801F711}"/>
    <hyperlink ref="F30" location="'Gráficos 1, 2, 15, 16 y 22'!A1" display="Gráfico 22" xr:uid="{EBB3D332-E1C6-4EA5-A39D-B671CFE9BA60}"/>
    <hyperlink ref="F34" location="'Gráfico 26'!A1" display="Gráfico 26" xr:uid="{8D500FBD-1EE5-4838-A4C3-F9533E19D82C}"/>
    <hyperlink ref="F33" location="'Gráficos 25'!A1" display="Gráfico 25" xr:uid="{636AF311-B003-42CA-84C4-C5C100D90327}"/>
    <hyperlink ref="F32" location="'Gráficos 24 '!A1" display="Gráfico 24" xr:uid="{B3B22E6E-A965-4734-80D1-30491A7817E8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2FE-129B-44E7-9FEF-6D4A13BED44C}">
  <dimension ref="A1:C51"/>
  <sheetViews>
    <sheetView workbookViewId="0"/>
  </sheetViews>
  <sheetFormatPr baseColWidth="10" defaultColWidth="11.5703125" defaultRowHeight="15" x14ac:dyDescent="0.25"/>
  <cols>
    <col min="1" max="16384" width="11.5703125" style="36"/>
  </cols>
  <sheetData>
    <row r="1" spans="1:3" x14ac:dyDescent="0.25">
      <c r="A1" s="103" t="s">
        <v>218</v>
      </c>
    </row>
    <row r="5" spans="1:3" ht="16.5" x14ac:dyDescent="0.3">
      <c r="C5" s="102" t="s">
        <v>220</v>
      </c>
    </row>
    <row r="13" spans="1:3" x14ac:dyDescent="0.25">
      <c r="C13" s="36" t="s">
        <v>0</v>
      </c>
    </row>
    <row r="15" spans="1:3" ht="16.5" x14ac:dyDescent="0.3">
      <c r="C15" s="102" t="s">
        <v>219</v>
      </c>
    </row>
    <row r="20" spans="3:3" x14ac:dyDescent="0.25">
      <c r="C20" s="36" t="s">
        <v>0</v>
      </c>
    </row>
    <row r="22" spans="3:3" ht="16.5" x14ac:dyDescent="0.3">
      <c r="C22" s="102" t="s">
        <v>217</v>
      </c>
    </row>
    <row r="30" spans="3:3" x14ac:dyDescent="0.25">
      <c r="C30" s="36" t="s">
        <v>0</v>
      </c>
    </row>
    <row r="32" spans="3:3" ht="16.5" x14ac:dyDescent="0.3">
      <c r="C32" s="102" t="s">
        <v>216</v>
      </c>
    </row>
    <row r="39" spans="3:3" ht="16.5" x14ac:dyDescent="0.3">
      <c r="C39" s="102" t="s">
        <v>249</v>
      </c>
    </row>
    <row r="51" spans="3:3" x14ac:dyDescent="0.25">
      <c r="C51" s="36" t="s">
        <v>0</v>
      </c>
    </row>
  </sheetData>
  <hyperlinks>
    <hyperlink ref="A1" location="Gráficos!A1" display="Ir a gráficos" xr:uid="{960C8E34-28CF-4D95-A989-EEB479F579DA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08DE-FD4D-4F5E-8CD0-B688A967B6EB}">
  <dimension ref="A1:V71"/>
  <sheetViews>
    <sheetView zoomScale="69" zoomScaleNormal="69" workbookViewId="0"/>
  </sheetViews>
  <sheetFormatPr baseColWidth="10" defaultRowHeight="15" x14ac:dyDescent="0.25"/>
  <cols>
    <col min="1" max="2" width="11.42578125" style="36"/>
    <col min="3" max="3" width="15.42578125" style="36" bestFit="1" customWidth="1"/>
    <col min="4" max="4" width="16.42578125" style="36" bestFit="1" customWidth="1"/>
    <col min="5" max="5" width="12.28515625" style="36" bestFit="1" customWidth="1"/>
    <col min="6" max="6" width="13" style="36" bestFit="1" customWidth="1"/>
    <col min="7" max="7" width="14.42578125" style="36" bestFit="1" customWidth="1"/>
    <col min="8" max="8" width="16.140625" style="36" bestFit="1" customWidth="1"/>
    <col min="9" max="12" width="11.42578125" style="36"/>
    <col min="13" max="13" width="17.42578125" style="36" customWidth="1"/>
    <col min="14" max="20" width="11.42578125" style="36"/>
    <col min="21" max="21" width="13.140625" style="36" customWidth="1"/>
    <col min="22" max="16384" width="11.42578125" style="36"/>
  </cols>
  <sheetData>
    <row r="1" spans="1:22" x14ac:dyDescent="0.25">
      <c r="A1" s="103" t="s">
        <v>218</v>
      </c>
    </row>
    <row r="4" spans="1:22" ht="16.5" x14ac:dyDescent="0.3">
      <c r="B4" s="48"/>
      <c r="M4" s="34" t="s">
        <v>34</v>
      </c>
      <c r="N4" s="10" t="s">
        <v>35</v>
      </c>
      <c r="U4" s="34" t="s">
        <v>63</v>
      </c>
      <c r="V4" s="10" t="s">
        <v>64</v>
      </c>
    </row>
    <row r="5" spans="1:22" ht="32.25" customHeight="1" x14ac:dyDescent="0.25">
      <c r="B5" s="36" t="s">
        <v>33</v>
      </c>
      <c r="C5" s="32" t="s">
        <v>32</v>
      </c>
      <c r="D5" s="32" t="s">
        <v>31</v>
      </c>
      <c r="E5" s="32" t="s">
        <v>30</v>
      </c>
      <c r="F5" s="32" t="s">
        <v>29</v>
      </c>
      <c r="G5" s="32" t="s">
        <v>28</v>
      </c>
      <c r="H5" s="32" t="s">
        <v>27</v>
      </c>
    </row>
    <row r="6" spans="1:22" ht="16.5" x14ac:dyDescent="0.3">
      <c r="B6" s="30">
        <v>2024</v>
      </c>
      <c r="C6" s="73">
        <v>2.8368742484372995</v>
      </c>
      <c r="D6" s="73">
        <v>1.2696447181325574</v>
      </c>
      <c r="E6" s="73">
        <v>0.91788706403570997</v>
      </c>
      <c r="F6" s="73">
        <v>1.0164963829855971</v>
      </c>
      <c r="G6" s="73">
        <v>0.47411584327585937</v>
      </c>
      <c r="H6" s="74">
        <v>6.515018256867017</v>
      </c>
      <c r="J6" s="50"/>
    </row>
    <row r="7" spans="1:22" ht="16.5" x14ac:dyDescent="0.3">
      <c r="B7" s="30">
        <v>2025</v>
      </c>
      <c r="C7" s="73">
        <v>2.8082690359540279</v>
      </c>
      <c r="D7" s="73">
        <v>1.2571613169832612</v>
      </c>
      <c r="E7" s="73">
        <v>0.91014554193476271</v>
      </c>
      <c r="F7" s="73">
        <v>1.0211566201224</v>
      </c>
      <c r="G7" s="73">
        <v>0.46322921718237237</v>
      </c>
      <c r="H7" s="74">
        <v>6.4599617321768221</v>
      </c>
      <c r="J7" s="50"/>
    </row>
    <row r="8" spans="1:22" ht="16.5" x14ac:dyDescent="0.3">
      <c r="B8" s="30">
        <v>2026</v>
      </c>
      <c r="C8" s="73">
        <v>2.8015882963170293</v>
      </c>
      <c r="D8" s="73">
        <v>1.2539284101256549</v>
      </c>
      <c r="E8" s="73">
        <v>0.90768491727203315</v>
      </c>
      <c r="F8" s="73">
        <v>1.0335723716307077</v>
      </c>
      <c r="G8" s="73">
        <v>0.45837389734463152</v>
      </c>
      <c r="H8" s="74">
        <v>6.4551478926900687</v>
      </c>
      <c r="J8" s="50"/>
    </row>
    <row r="9" spans="1:22" ht="16.5" x14ac:dyDescent="0.3">
      <c r="B9" s="30">
        <v>2027</v>
      </c>
      <c r="C9" s="73">
        <v>2.8042028724477484</v>
      </c>
      <c r="D9" s="73">
        <v>1.2544818311575454</v>
      </c>
      <c r="E9" s="73">
        <v>0.90920815384580378</v>
      </c>
      <c r="F9" s="73">
        <v>1.0500830959498046</v>
      </c>
      <c r="G9" s="73">
        <v>0.45565907160355174</v>
      </c>
      <c r="H9" s="74">
        <v>6.4736350250044632</v>
      </c>
      <c r="J9" s="50"/>
    </row>
    <row r="10" spans="1:22" ht="16.5" x14ac:dyDescent="0.3">
      <c r="B10" s="30">
        <v>2028</v>
      </c>
      <c r="C10" s="73">
        <v>2.8124080329705805</v>
      </c>
      <c r="D10" s="73">
        <v>1.257594309406125</v>
      </c>
      <c r="E10" s="73">
        <v>0.91242731433630209</v>
      </c>
      <c r="F10" s="73">
        <v>1.0691127711763484</v>
      </c>
      <c r="G10" s="73">
        <v>0.45402640304532982</v>
      </c>
      <c r="H10" s="74">
        <v>6.5055688309346769</v>
      </c>
      <c r="J10" s="50"/>
    </row>
    <row r="11" spans="1:22" ht="16.5" x14ac:dyDescent="0.3">
      <c r="B11" s="30">
        <v>2029</v>
      </c>
      <c r="C11" s="73">
        <v>2.8243970921948973</v>
      </c>
      <c r="D11" s="73">
        <v>1.2627168138103395</v>
      </c>
      <c r="E11" s="73">
        <v>0.91683096996940328</v>
      </c>
      <c r="F11" s="73">
        <v>1.0901440726252329</v>
      </c>
      <c r="G11" s="73">
        <v>0.45295794880452211</v>
      </c>
      <c r="H11" s="74">
        <v>6.5470468974043978</v>
      </c>
      <c r="J11" s="50"/>
    </row>
    <row r="12" spans="1:22" ht="16.5" x14ac:dyDescent="0.3">
      <c r="B12" s="30">
        <v>2030</v>
      </c>
      <c r="C12" s="73">
        <v>2.8413040006662453</v>
      </c>
      <c r="D12" s="73">
        <v>1.2698479148423516</v>
      </c>
      <c r="E12" s="73">
        <v>0.9228747161499733</v>
      </c>
      <c r="F12" s="73">
        <v>1.115052154481889</v>
      </c>
      <c r="G12" s="73">
        <v>0.45290555472533395</v>
      </c>
      <c r="H12" s="74">
        <v>6.6019843408657994</v>
      </c>
      <c r="J12" s="50"/>
    </row>
    <row r="13" spans="1:22" ht="16.5" x14ac:dyDescent="0.3">
      <c r="B13" s="30">
        <v>2031</v>
      </c>
      <c r="C13" s="73">
        <v>2.8681522738260914</v>
      </c>
      <c r="D13" s="73">
        <v>1.2804496471567361</v>
      </c>
      <c r="E13" s="73">
        <v>0.93101180504153058</v>
      </c>
      <c r="F13" s="73">
        <v>1.1404182753117051</v>
      </c>
      <c r="G13" s="73">
        <v>0.45429129465135565</v>
      </c>
      <c r="H13" s="74">
        <v>6.674323295987417</v>
      </c>
      <c r="J13" s="50"/>
    </row>
    <row r="14" spans="1:22" ht="16.5" x14ac:dyDescent="0.3">
      <c r="B14" s="30">
        <v>2032</v>
      </c>
      <c r="C14" s="73">
        <v>2.8968637957020533</v>
      </c>
      <c r="D14" s="73">
        <v>1.2928935260126642</v>
      </c>
      <c r="E14" s="73">
        <v>0.94091078928060923</v>
      </c>
      <c r="F14" s="73">
        <v>1.1683789435037208</v>
      </c>
      <c r="G14" s="73">
        <v>0.45626696372032177</v>
      </c>
      <c r="H14" s="74">
        <v>6.7553140182193712</v>
      </c>
      <c r="J14" s="50"/>
    </row>
    <row r="15" spans="1:22" ht="16.5" x14ac:dyDescent="0.3">
      <c r="B15" s="30">
        <v>2033</v>
      </c>
      <c r="C15" s="73">
        <v>2.929848668356382</v>
      </c>
      <c r="D15" s="73">
        <v>1.3065111935303371</v>
      </c>
      <c r="E15" s="73">
        <v>0.95189159982324634</v>
      </c>
      <c r="F15" s="73">
        <v>1.1981744304128226</v>
      </c>
      <c r="G15" s="73">
        <v>0.45872144486446204</v>
      </c>
      <c r="H15" s="74">
        <v>6.8451473369872469</v>
      </c>
      <c r="J15" s="50"/>
    </row>
    <row r="16" spans="1:22" ht="16.5" x14ac:dyDescent="0.3">
      <c r="B16" s="30">
        <v>2034</v>
      </c>
      <c r="C16" s="73">
        <v>2.9612866829633178</v>
      </c>
      <c r="D16" s="73">
        <v>1.3193984544780664</v>
      </c>
      <c r="E16" s="73">
        <v>0.96189593520885308</v>
      </c>
      <c r="F16" s="73">
        <v>1.225303015460989</v>
      </c>
      <c r="G16" s="73">
        <v>0.4607696408491494</v>
      </c>
      <c r="H16" s="74">
        <v>6.9286537289603833</v>
      </c>
      <c r="J16" s="50"/>
    </row>
    <row r="17" spans="2:21" ht="16.5" x14ac:dyDescent="0.3">
      <c r="B17" s="30">
        <v>2035</v>
      </c>
      <c r="C17" s="73">
        <v>2.990924658299059</v>
      </c>
      <c r="D17" s="73">
        <v>1.3315336442401502</v>
      </c>
      <c r="E17" s="73">
        <v>0.97171315586626827</v>
      </c>
      <c r="F17" s="73">
        <v>1.2521687540384172</v>
      </c>
      <c r="G17" s="73">
        <v>0.46264361293697143</v>
      </c>
      <c r="H17" s="74">
        <v>7.008983825380863</v>
      </c>
      <c r="J17" s="50"/>
    </row>
    <row r="18" spans="2:21" ht="16.5" x14ac:dyDescent="0.3">
      <c r="B18" s="30">
        <v>2036</v>
      </c>
      <c r="C18" s="73">
        <v>3.0190992079578169</v>
      </c>
      <c r="D18" s="73">
        <v>1.3432063554378628</v>
      </c>
      <c r="E18" s="73">
        <v>0.98125067700052426</v>
      </c>
      <c r="F18" s="73">
        <v>1.2789196515213748</v>
      </c>
      <c r="G18" s="73">
        <v>0.46430204049024743</v>
      </c>
      <c r="H18" s="74">
        <v>7.0867779324078226</v>
      </c>
      <c r="J18" s="50"/>
    </row>
    <row r="19" spans="2:21" ht="16.5" x14ac:dyDescent="0.3">
      <c r="B19" s="30">
        <v>2037</v>
      </c>
      <c r="C19" s="73">
        <v>3.0466547704101177</v>
      </c>
      <c r="D19" s="73">
        <v>1.3543085532271888</v>
      </c>
      <c r="E19" s="73">
        <v>0.99075074708979172</v>
      </c>
      <c r="F19" s="73">
        <v>1.3063913035308929</v>
      </c>
      <c r="G19" s="73">
        <v>0.46596806697969512</v>
      </c>
      <c r="H19" s="74">
        <v>7.1640734412376892</v>
      </c>
      <c r="J19" s="50"/>
    </row>
    <row r="20" spans="2:21" ht="16.5" x14ac:dyDescent="0.3">
      <c r="B20" s="30">
        <v>2038</v>
      </c>
      <c r="C20" s="73">
        <v>3.0755354956767125</v>
      </c>
      <c r="D20" s="73">
        <v>1.365504483467888</v>
      </c>
      <c r="E20" s="73">
        <v>1.0005796324825222</v>
      </c>
      <c r="F20" s="73">
        <v>1.3340600493527066</v>
      </c>
      <c r="G20" s="73">
        <v>0.46773596169301646</v>
      </c>
      <c r="H20" s="74">
        <v>7.2434156226728499</v>
      </c>
      <c r="J20" s="50"/>
    </row>
    <row r="21" spans="2:21" ht="16.5" x14ac:dyDescent="0.3">
      <c r="B21" s="30">
        <v>2039</v>
      </c>
      <c r="C21" s="73">
        <v>3.1052699687127436</v>
      </c>
      <c r="D21" s="73">
        <v>1.376556445766087</v>
      </c>
      <c r="E21" s="73">
        <v>1.0104313007752688</v>
      </c>
      <c r="F21" s="73">
        <v>1.3613170438790669</v>
      </c>
      <c r="G21" s="73">
        <v>0.46962015327971696</v>
      </c>
      <c r="H21" s="74">
        <v>7.3231949124128821</v>
      </c>
      <c r="J21" s="50"/>
      <c r="L21" s="36" t="s">
        <v>36</v>
      </c>
    </row>
    <row r="22" spans="2:21" ht="16.5" x14ac:dyDescent="0.3">
      <c r="B22" s="30">
        <v>2040</v>
      </c>
      <c r="C22" s="73">
        <v>3.1335778349752483</v>
      </c>
      <c r="D22" s="73">
        <v>1.3866103014628697</v>
      </c>
      <c r="E22" s="73">
        <v>1.019811269094971</v>
      </c>
      <c r="F22" s="73">
        <v>1.3884108116718263</v>
      </c>
      <c r="G22" s="73">
        <v>0.47132701299652163</v>
      </c>
      <c r="H22" s="74">
        <v>7.3997372302014321</v>
      </c>
      <c r="J22" s="50"/>
      <c r="U22" s="36" t="s">
        <v>36</v>
      </c>
    </row>
    <row r="23" spans="2:21" ht="16.5" x14ac:dyDescent="0.3">
      <c r="B23" s="30">
        <v>2041</v>
      </c>
      <c r="C23" s="73">
        <v>3.1600436673380927</v>
      </c>
      <c r="D23" s="73">
        <v>1.3962424978085985</v>
      </c>
      <c r="E23" s="73">
        <v>1.0289376591099373</v>
      </c>
      <c r="F23" s="73">
        <v>1.4174000644086755</v>
      </c>
      <c r="G23" s="73">
        <v>0.47290260605289564</v>
      </c>
      <c r="H23" s="74">
        <v>7.4755264947182001</v>
      </c>
      <c r="J23" s="50"/>
    </row>
    <row r="24" spans="2:21" ht="16.5" x14ac:dyDescent="0.3">
      <c r="B24" s="30">
        <v>2042</v>
      </c>
      <c r="C24" s="73">
        <v>3.1870409493898535</v>
      </c>
      <c r="D24" s="73">
        <v>1.4060055397472384</v>
      </c>
      <c r="E24" s="73">
        <v>1.0380266882515725</v>
      </c>
      <c r="F24" s="73">
        <v>1.4452149746283423</v>
      </c>
      <c r="G24" s="73">
        <v>0.47469381429453961</v>
      </c>
      <c r="H24" s="74">
        <v>7.5509819663115509</v>
      </c>
      <c r="J24" s="50"/>
    </row>
    <row r="25" spans="2:21" ht="16.5" x14ac:dyDescent="0.3">
      <c r="B25" s="30">
        <v>2043</v>
      </c>
      <c r="C25" s="73">
        <v>3.2139401714943343</v>
      </c>
      <c r="D25" s="73">
        <v>1.415500780892994</v>
      </c>
      <c r="E25" s="73">
        <v>1.0465400357997026</v>
      </c>
      <c r="F25" s="73">
        <v>1.4713362203052021</v>
      </c>
      <c r="G25" s="73">
        <v>0.47643579324992064</v>
      </c>
      <c r="H25" s="74">
        <v>7.6237530017421573</v>
      </c>
      <c r="J25" s="50"/>
      <c r="M25" s="34" t="s">
        <v>37</v>
      </c>
      <c r="U25" s="34" t="s">
        <v>65</v>
      </c>
    </row>
    <row r="26" spans="2:21" ht="16.5" x14ac:dyDescent="0.3">
      <c r="B26" s="30">
        <v>2044</v>
      </c>
      <c r="C26" s="73">
        <v>3.2389829961690273</v>
      </c>
      <c r="D26" s="73">
        <v>1.4245213882635521</v>
      </c>
      <c r="E26" s="73">
        <v>1.0546883435571948</v>
      </c>
      <c r="F26" s="73">
        <v>1.4972204783566225</v>
      </c>
      <c r="G26" s="73">
        <v>0.47810687131289348</v>
      </c>
      <c r="H26" s="74">
        <v>7.6935200776592882</v>
      </c>
      <c r="J26" s="50"/>
    </row>
    <row r="27" spans="2:21" ht="16.5" x14ac:dyDescent="0.3">
      <c r="B27" s="30">
        <v>2045</v>
      </c>
      <c r="C27" s="73">
        <v>3.2625682207778151</v>
      </c>
      <c r="D27" s="73">
        <v>1.4326935384729664</v>
      </c>
      <c r="E27" s="73">
        <v>1.0626431043820885</v>
      </c>
      <c r="F27" s="73">
        <v>1.5205699199628846</v>
      </c>
      <c r="G27" s="73">
        <v>0.47965296831834714</v>
      </c>
      <c r="H27" s="74">
        <v>7.7581277519140901</v>
      </c>
      <c r="J27" s="50"/>
    </row>
    <row r="28" spans="2:21" ht="16.5" x14ac:dyDescent="0.3">
      <c r="B28" s="30">
        <v>2046</v>
      </c>
      <c r="C28" s="73">
        <v>3.2846925602588324</v>
      </c>
      <c r="D28" s="73">
        <v>1.4403252490394158</v>
      </c>
      <c r="E28" s="73">
        <v>1.0699094183654656</v>
      </c>
      <c r="F28" s="73">
        <v>1.5416446323271642</v>
      </c>
      <c r="G28" s="73">
        <v>0.48119695732971657</v>
      </c>
      <c r="H28" s="74">
        <v>7.8177688173205944</v>
      </c>
      <c r="J28" s="50"/>
    </row>
    <row r="29" spans="2:21" ht="16.5" x14ac:dyDescent="0.3">
      <c r="B29" s="30">
        <v>2047</v>
      </c>
      <c r="C29" s="73">
        <v>3.3053502044188052</v>
      </c>
      <c r="D29" s="73">
        <v>1.4474908469768681</v>
      </c>
      <c r="E29" s="73">
        <v>1.0767505211165505</v>
      </c>
      <c r="F29" s="73">
        <v>1.5595307875644335</v>
      </c>
      <c r="G29" s="73">
        <v>0.48268093388363043</v>
      </c>
      <c r="H29" s="74">
        <v>7.8718032939602764</v>
      </c>
      <c r="J29" s="50"/>
    </row>
    <row r="30" spans="2:21" ht="16.5" x14ac:dyDescent="0.3">
      <c r="B30" s="30">
        <v>2048</v>
      </c>
      <c r="C30" s="73">
        <v>3.324434547374044</v>
      </c>
      <c r="D30" s="73">
        <v>1.4540472478967621</v>
      </c>
      <c r="E30" s="73">
        <v>1.0828312035249827</v>
      </c>
      <c r="F30" s="73">
        <v>1.5747039565307424</v>
      </c>
      <c r="G30" s="73">
        <v>0.48401634995121051</v>
      </c>
      <c r="H30" s="74">
        <v>7.9200333052777321</v>
      </c>
      <c r="J30" s="50"/>
    </row>
    <row r="31" spans="2:21" ht="16.5" x14ac:dyDescent="0.3">
      <c r="B31" s="30">
        <v>2049</v>
      </c>
      <c r="C31" s="73">
        <v>3.3419799382786048</v>
      </c>
      <c r="D31" s="73">
        <v>1.4601771108740027</v>
      </c>
      <c r="E31" s="73">
        <v>1.0882495403360786</v>
      </c>
      <c r="F31" s="73">
        <v>1.5871946576132439</v>
      </c>
      <c r="G31" s="73">
        <v>0.48534447277565568</v>
      </c>
      <c r="H31" s="74">
        <v>7.9629457198775846</v>
      </c>
      <c r="J31" s="50"/>
    </row>
    <row r="32" spans="2:21" ht="16.5" x14ac:dyDescent="0.3">
      <c r="B32" s="30">
        <v>2050</v>
      </c>
      <c r="C32" s="73">
        <v>3.3581919631672283</v>
      </c>
      <c r="D32" s="73">
        <v>1.4660304141463181</v>
      </c>
      <c r="E32" s="73">
        <v>1.0927046483510341</v>
      </c>
      <c r="F32" s="73">
        <v>1.5961959847952043</v>
      </c>
      <c r="G32" s="73">
        <v>0.48655194359394055</v>
      </c>
      <c r="H32" s="74">
        <v>7.9996749540537193</v>
      </c>
      <c r="J32" s="50"/>
    </row>
    <row r="33" spans="2:21" ht="16.5" x14ac:dyDescent="0.3">
      <c r="B33" s="30">
        <v>2051</v>
      </c>
      <c r="C33" s="73">
        <v>3.3723879328195205</v>
      </c>
      <c r="D33" s="73">
        <v>1.4714295212558308</v>
      </c>
      <c r="E33" s="73">
        <v>1.096714792139277</v>
      </c>
      <c r="F33" s="73">
        <v>1.6029385187386107</v>
      </c>
      <c r="G33" s="73">
        <v>0.48766826933258889</v>
      </c>
      <c r="H33" s="74">
        <v>8.0311390342858413</v>
      </c>
      <c r="J33" s="50"/>
    </row>
    <row r="34" spans="2:21" ht="16.5" x14ac:dyDescent="0.3">
      <c r="B34" s="30">
        <v>2052</v>
      </c>
      <c r="C34" s="73">
        <v>3.3841643802458381</v>
      </c>
      <c r="D34" s="73">
        <v>1.4760664122887575</v>
      </c>
      <c r="E34" s="73">
        <v>1.1000280746757878</v>
      </c>
      <c r="F34" s="73">
        <v>1.6078176291954778</v>
      </c>
      <c r="G34" s="73">
        <v>0.48857463840290088</v>
      </c>
      <c r="H34" s="74">
        <v>8.0566511348087584</v>
      </c>
      <c r="J34" s="50"/>
    </row>
    <row r="35" spans="2:21" ht="16.5" x14ac:dyDescent="0.3">
      <c r="B35" s="30">
        <v>2053</v>
      </c>
      <c r="C35" s="73">
        <v>3.3945125917417123</v>
      </c>
      <c r="D35" s="73">
        <v>1.4805768337333574</v>
      </c>
      <c r="E35" s="73">
        <v>1.1028432934089858</v>
      </c>
      <c r="F35" s="73">
        <v>1.6116419883380135</v>
      </c>
      <c r="G35" s="73">
        <v>0.48938650461860378</v>
      </c>
      <c r="H35" s="74">
        <v>8.0789612118406815</v>
      </c>
      <c r="J35" s="50"/>
    </row>
    <row r="36" spans="2:21" ht="16.5" x14ac:dyDescent="0.3">
      <c r="B36" s="30">
        <v>2054</v>
      </c>
      <c r="C36" s="73">
        <v>3.4030131324167181</v>
      </c>
      <c r="D36" s="73">
        <v>1.48443942528633</v>
      </c>
      <c r="E36" s="73">
        <v>1.1051311806772774</v>
      </c>
      <c r="F36" s="73">
        <v>1.6143597271050876</v>
      </c>
      <c r="G36" s="73">
        <v>0.49006799345624175</v>
      </c>
      <c r="H36" s="74">
        <v>8.0970114589416458</v>
      </c>
      <c r="J36" s="50"/>
    </row>
    <row r="37" spans="2:21" ht="16.5" x14ac:dyDescent="0.3">
      <c r="B37" s="30">
        <v>2055</v>
      </c>
      <c r="C37" s="73">
        <v>3.4107350136288606</v>
      </c>
      <c r="D37" s="73">
        <v>1.4880843720746242</v>
      </c>
      <c r="E37" s="73">
        <v>1.1072912575354901</v>
      </c>
      <c r="F37" s="73">
        <v>1.6164159005276617</v>
      </c>
      <c r="G37" s="73">
        <v>0.49075601124631646</v>
      </c>
      <c r="H37" s="74">
        <v>8.1132825550129386</v>
      </c>
      <c r="J37" s="50"/>
    </row>
    <row r="38" spans="2:21" ht="16.5" x14ac:dyDescent="0.3">
      <c r="B38" s="30">
        <v>2056</v>
      </c>
      <c r="C38" s="73">
        <v>3.4169477039112239</v>
      </c>
      <c r="D38" s="73">
        <v>1.4913516898527805</v>
      </c>
      <c r="E38" s="73">
        <v>1.1091489323285546</v>
      </c>
      <c r="F38" s="73">
        <v>1.618006370842463</v>
      </c>
      <c r="G38" s="73">
        <v>0.49134363733800257</v>
      </c>
      <c r="H38" s="74">
        <v>8.1267983342730368</v>
      </c>
      <c r="J38" s="50"/>
    </row>
    <row r="39" spans="2:21" ht="16.5" x14ac:dyDescent="0.3">
      <c r="B39" s="30">
        <v>2057</v>
      </c>
      <c r="C39" s="73">
        <v>3.421858947910819</v>
      </c>
      <c r="D39" s="73">
        <v>1.4945688157431971</v>
      </c>
      <c r="E39" s="73">
        <v>1.1107953230836412</v>
      </c>
      <c r="F39" s="73">
        <v>1.6191462481466536</v>
      </c>
      <c r="G39" s="73">
        <v>0.49187534705854347</v>
      </c>
      <c r="H39" s="74">
        <v>8.1382446819428562</v>
      </c>
      <c r="J39" s="50"/>
    </row>
    <row r="40" spans="2:21" ht="16.5" x14ac:dyDescent="0.3">
      <c r="B40" s="30">
        <v>2058</v>
      </c>
      <c r="C40" s="73">
        <v>3.4252268273204396</v>
      </c>
      <c r="D40" s="73">
        <v>1.4974856271749324</v>
      </c>
      <c r="E40" s="73">
        <v>1.111862888774225</v>
      </c>
      <c r="F40" s="73">
        <v>1.620020497211859</v>
      </c>
      <c r="G40" s="73">
        <v>0.49226479770799497</v>
      </c>
      <c r="H40" s="74">
        <v>8.1468606381894659</v>
      </c>
      <c r="J40" s="50"/>
    </row>
    <row r="41" spans="2:21" ht="16.5" x14ac:dyDescent="0.3">
      <c r="B41" s="30">
        <v>2059</v>
      </c>
      <c r="C41" s="73">
        <v>3.4276237676514869</v>
      </c>
      <c r="D41" s="73">
        <v>1.5006720811164727</v>
      </c>
      <c r="E41" s="73">
        <v>1.1128444411677048</v>
      </c>
      <c r="F41" s="73">
        <v>1.6199375251865646</v>
      </c>
      <c r="G41" s="73">
        <v>0.49264123294273665</v>
      </c>
      <c r="H41" s="74">
        <v>8.1537190480649517</v>
      </c>
      <c r="J41" s="50"/>
    </row>
    <row r="42" spans="2:21" ht="16.5" x14ac:dyDescent="0.3">
      <c r="B42" s="30">
        <v>2060</v>
      </c>
      <c r="C42" s="73">
        <v>3.4291265572833423</v>
      </c>
      <c r="D42" s="73">
        <v>1.5041193007162053</v>
      </c>
      <c r="E42" s="73">
        <v>1.1132379709761677</v>
      </c>
      <c r="F42" s="73">
        <v>1.6178061001492874</v>
      </c>
      <c r="G42" s="73">
        <v>0.49299315601356924</v>
      </c>
      <c r="H42" s="74">
        <v>8.1572830851385802</v>
      </c>
      <c r="J42" s="50"/>
    </row>
    <row r="43" spans="2:21" ht="16.5" x14ac:dyDescent="0.3">
      <c r="B43" s="30">
        <v>2061</v>
      </c>
      <c r="C43" s="73">
        <v>3.4294584059416895</v>
      </c>
      <c r="D43" s="73">
        <v>1.5075504109815119</v>
      </c>
      <c r="E43" s="73">
        <v>1.113333506604671</v>
      </c>
      <c r="F43" s="73">
        <v>1.6148115578868718</v>
      </c>
      <c r="G43" s="73">
        <v>0.4932832898083731</v>
      </c>
      <c r="H43" s="74">
        <v>8.1584371712231132</v>
      </c>
      <c r="J43" s="50"/>
    </row>
    <row r="44" spans="2:21" ht="16.5" x14ac:dyDescent="0.3">
      <c r="B44" s="30">
        <v>2062</v>
      </c>
      <c r="C44" s="73">
        <v>3.4286406786922252</v>
      </c>
      <c r="D44" s="73">
        <v>1.5108182598073014</v>
      </c>
      <c r="E44" s="73">
        <v>1.1129521986494795</v>
      </c>
      <c r="F44" s="73">
        <v>1.6106449983061826</v>
      </c>
      <c r="G44" s="73">
        <v>0.49351159518614229</v>
      </c>
      <c r="H44" s="74">
        <v>8.1565677306413438</v>
      </c>
      <c r="J44" s="50"/>
      <c r="U44" s="36" t="s">
        <v>36</v>
      </c>
    </row>
    <row r="45" spans="2:21" ht="16.5" x14ac:dyDescent="0.3">
      <c r="B45" s="30">
        <v>2063</v>
      </c>
      <c r="C45" s="73">
        <v>3.4266092388579632</v>
      </c>
      <c r="D45" s="73">
        <v>1.5138150843013567</v>
      </c>
      <c r="E45" s="73">
        <v>1.1123689850020457</v>
      </c>
      <c r="F45" s="73">
        <v>1.6066360781491487</v>
      </c>
      <c r="G45" s="73">
        <v>0.49366656906185807</v>
      </c>
      <c r="H45" s="74">
        <v>8.1530959553723683</v>
      </c>
      <c r="J45" s="50"/>
    </row>
    <row r="46" spans="2:21" ht="16.5" x14ac:dyDescent="0.3">
      <c r="B46" s="30">
        <v>2064</v>
      </c>
      <c r="C46" s="73">
        <v>3.4239188965725647</v>
      </c>
      <c r="D46" s="73">
        <v>1.5168441574666653</v>
      </c>
      <c r="E46" s="73">
        <v>1.11164127427513</v>
      </c>
      <c r="F46" s="73">
        <v>1.6022279038720546</v>
      </c>
      <c r="G46" s="73">
        <v>0.49380017183603608</v>
      </c>
      <c r="H46" s="74">
        <v>8.1484324040224543</v>
      </c>
      <c r="J46" s="50"/>
      <c r="L46" s="36" t="s">
        <v>36</v>
      </c>
    </row>
    <row r="47" spans="2:21" ht="16.5" x14ac:dyDescent="0.3">
      <c r="B47" s="30">
        <v>2065</v>
      </c>
      <c r="C47" s="73">
        <v>3.4199462755361663</v>
      </c>
      <c r="D47" s="73">
        <v>1.5194913952966755</v>
      </c>
      <c r="E47" s="73">
        <v>1.1109370595204815</v>
      </c>
      <c r="F47" s="73">
        <v>1.5993410128902668</v>
      </c>
      <c r="G47" s="73">
        <v>0.49382663655082398</v>
      </c>
      <c r="H47" s="74">
        <v>8.1435423797944217</v>
      </c>
      <c r="J47" s="50"/>
    </row>
    <row r="48" spans="2:21" ht="16.5" x14ac:dyDescent="0.3">
      <c r="B48" s="30">
        <v>2066</v>
      </c>
      <c r="C48" s="73">
        <v>3.4156186911819435</v>
      </c>
      <c r="D48" s="73">
        <v>1.5220325075377983</v>
      </c>
      <c r="E48" s="73">
        <v>1.1103533856893628</v>
      </c>
      <c r="F48" s="73">
        <v>1.5969855434679587</v>
      </c>
      <c r="G48" s="73">
        <v>0.4938511377937379</v>
      </c>
      <c r="H48" s="74">
        <v>8.1388412656707896</v>
      </c>
      <c r="J48" s="50"/>
      <c r="U48" s="34" t="s">
        <v>91</v>
      </c>
    </row>
    <row r="49" spans="2:13" ht="16.5" x14ac:dyDescent="0.3">
      <c r="B49" s="30">
        <v>2067</v>
      </c>
      <c r="C49" s="73">
        <v>3.4108013514137743</v>
      </c>
      <c r="D49" s="73">
        <v>1.5244724327114871</v>
      </c>
      <c r="E49" s="73">
        <v>1.110052276592284</v>
      </c>
      <c r="F49" s="73">
        <v>1.5950997352498246</v>
      </c>
      <c r="G49" s="73">
        <v>0.49385486709791804</v>
      </c>
      <c r="H49" s="74">
        <v>8.1342806630652866</v>
      </c>
      <c r="J49" s="50"/>
      <c r="M49" s="34" t="s">
        <v>38</v>
      </c>
    </row>
    <row r="50" spans="2:13" ht="16.5" x14ac:dyDescent="0.3">
      <c r="B50" s="30">
        <v>2068</v>
      </c>
      <c r="C50" s="73">
        <v>3.4049987080363411</v>
      </c>
      <c r="D50" s="73">
        <v>1.5265927565535924</v>
      </c>
      <c r="E50" s="73">
        <v>1.1098995245154273</v>
      </c>
      <c r="F50" s="73">
        <v>1.594231407296633</v>
      </c>
      <c r="G50" s="73">
        <v>0.49375763204051271</v>
      </c>
      <c r="H50" s="74">
        <v>8.1294800284425222</v>
      </c>
      <c r="J50" s="50"/>
    </row>
    <row r="51" spans="2:13" ht="16.5" x14ac:dyDescent="0.3">
      <c r="B51" s="30">
        <v>2069</v>
      </c>
      <c r="C51" s="73">
        <v>3.3981931840037429</v>
      </c>
      <c r="D51" s="73">
        <v>1.5283223101619585</v>
      </c>
      <c r="E51" s="73">
        <v>1.1099838267848214</v>
      </c>
      <c r="F51" s="73">
        <v>1.5948705732209043</v>
      </c>
      <c r="G51" s="73">
        <v>0.49355519383312751</v>
      </c>
      <c r="H51" s="74">
        <v>8.1249250880045523</v>
      </c>
      <c r="J51" s="50"/>
    </row>
    <row r="52" spans="2:13" ht="16.5" x14ac:dyDescent="0.3">
      <c r="B52" s="30">
        <v>2070</v>
      </c>
      <c r="C52" s="73">
        <v>3.3908703109022311</v>
      </c>
      <c r="D52" s="73">
        <v>1.5297880395214631</v>
      </c>
      <c r="E52" s="73">
        <v>1.1103168742338689</v>
      </c>
      <c r="F52" s="73">
        <v>1.5969709672645844</v>
      </c>
      <c r="G52" s="73">
        <v>0.49328903713583816</v>
      </c>
      <c r="H52" s="74">
        <v>8.1212352290579872</v>
      </c>
      <c r="J52" s="50"/>
    </row>
    <row r="53" spans="2:13" x14ac:dyDescent="0.25">
      <c r="C53" s="51"/>
      <c r="D53" s="51"/>
      <c r="E53" s="51"/>
      <c r="F53" s="51"/>
      <c r="G53" s="51"/>
      <c r="J53" s="50"/>
    </row>
    <row r="54" spans="2:13" x14ac:dyDescent="0.25">
      <c r="C54" s="51"/>
      <c r="D54" s="51"/>
      <c r="E54" s="51"/>
      <c r="F54" s="51"/>
      <c r="G54" s="51"/>
      <c r="J54" s="50"/>
    </row>
    <row r="55" spans="2:13" x14ac:dyDescent="0.25">
      <c r="C55" s="51"/>
      <c r="D55" s="51"/>
      <c r="E55" s="51"/>
      <c r="F55" s="51"/>
      <c r="G55" s="51"/>
      <c r="J55" s="50"/>
    </row>
    <row r="70" spans="12:21" x14ac:dyDescent="0.25">
      <c r="U70" s="36" t="s">
        <v>92</v>
      </c>
    </row>
    <row r="71" spans="12:21" x14ac:dyDescent="0.25">
      <c r="L71" s="36" t="s">
        <v>36</v>
      </c>
    </row>
  </sheetData>
  <hyperlinks>
    <hyperlink ref="A1" location="Gráficos!A1" display="Ir a gráficos" xr:uid="{98347550-A429-4383-B484-C2AB4A325E3A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76B0-5464-4112-AD0F-3F7E28B10965}">
  <dimension ref="A1:S17"/>
  <sheetViews>
    <sheetView workbookViewId="0"/>
  </sheetViews>
  <sheetFormatPr baseColWidth="10" defaultRowHeight="15" x14ac:dyDescent="0.25"/>
  <cols>
    <col min="1" max="6" width="11.42578125" style="36"/>
    <col min="7" max="8" width="12.5703125" style="36" bestFit="1" customWidth="1"/>
    <col min="9" max="9" width="11.42578125" style="36"/>
    <col min="10" max="10" width="13.85546875" style="36" customWidth="1"/>
    <col min="11" max="17" width="11.42578125" style="36"/>
    <col min="18" max="18" width="14.7109375" style="36" customWidth="1"/>
    <col min="19" max="16384" width="11.42578125" style="36"/>
  </cols>
  <sheetData>
    <row r="1" spans="1:19" x14ac:dyDescent="0.25">
      <c r="A1" s="103" t="s">
        <v>218</v>
      </c>
    </row>
    <row r="3" spans="1:19" ht="16.5" x14ac:dyDescent="0.3">
      <c r="J3" s="34" t="s">
        <v>51</v>
      </c>
      <c r="K3" s="10" t="s">
        <v>52</v>
      </c>
      <c r="R3" s="34" t="s">
        <v>53</v>
      </c>
      <c r="S3" s="10" t="s">
        <v>54</v>
      </c>
    </row>
    <row r="4" spans="1:19" x14ac:dyDescent="0.25">
      <c r="C4" s="91" t="s">
        <v>49</v>
      </c>
      <c r="D4" s="92"/>
      <c r="E4" s="52"/>
      <c r="G4" s="91" t="s">
        <v>50</v>
      </c>
      <c r="H4" s="92"/>
    </row>
    <row r="5" spans="1:19" x14ac:dyDescent="0.25">
      <c r="C5" s="32" t="s">
        <v>40</v>
      </c>
      <c r="D5" s="32" t="s">
        <v>39</v>
      </c>
      <c r="G5" s="32" t="s">
        <v>40</v>
      </c>
      <c r="H5" s="32" t="s">
        <v>39</v>
      </c>
    </row>
    <row r="6" spans="1:19" ht="16.5" x14ac:dyDescent="0.3">
      <c r="B6" s="30" t="s">
        <v>41</v>
      </c>
      <c r="C6" s="54">
        <v>4.6264131876460555</v>
      </c>
      <c r="D6" s="54">
        <v>4.2316680351165283</v>
      </c>
      <c r="E6" s="53"/>
      <c r="F6" s="30" t="s">
        <v>41</v>
      </c>
      <c r="G6" s="55">
        <v>3.7922605938868856</v>
      </c>
      <c r="H6" s="55">
        <v>3.3953679727015316</v>
      </c>
    </row>
    <row r="7" spans="1:19" ht="16.5" x14ac:dyDescent="0.3">
      <c r="B7" s="30" t="s">
        <v>42</v>
      </c>
      <c r="C7" s="54">
        <v>5.7790690330322745</v>
      </c>
      <c r="D7" s="54">
        <v>6.1896039916629819</v>
      </c>
      <c r="E7" s="53"/>
      <c r="F7" s="30" t="s">
        <v>42</v>
      </c>
      <c r="G7" s="55">
        <v>4.4989230657534911</v>
      </c>
      <c r="H7" s="55">
        <v>5.2007453837032012</v>
      </c>
    </row>
    <row r="8" spans="1:19" ht="16.5" x14ac:dyDescent="0.3">
      <c r="B8" s="30" t="s">
        <v>43</v>
      </c>
      <c r="C8" s="54">
        <v>10.677066885618643</v>
      </c>
      <c r="D8" s="54">
        <v>10.626539506094865</v>
      </c>
      <c r="E8" s="53"/>
      <c r="F8" s="30" t="s">
        <v>43</v>
      </c>
      <c r="G8" s="55">
        <v>8.8163403596234353</v>
      </c>
      <c r="H8" s="55">
        <v>9.1769318264320798</v>
      </c>
    </row>
    <row r="9" spans="1:19" ht="16.5" x14ac:dyDescent="0.3">
      <c r="B9" s="30" t="s">
        <v>44</v>
      </c>
      <c r="C9" s="54">
        <v>9.7044148297858897</v>
      </c>
      <c r="D9" s="54">
        <v>9.6665192951430559</v>
      </c>
      <c r="E9" s="53"/>
      <c r="F9" s="30" t="s">
        <v>44</v>
      </c>
      <c r="G9" s="55">
        <v>8.9397642845042462</v>
      </c>
      <c r="H9" s="55">
        <v>9.0026862854238754</v>
      </c>
    </row>
    <row r="10" spans="1:19" ht="16.5" x14ac:dyDescent="0.3">
      <c r="B10" s="30" t="s">
        <v>45</v>
      </c>
      <c r="C10" s="54">
        <v>7.7970062527632162</v>
      </c>
      <c r="D10" s="54">
        <v>8.1949093665129791</v>
      </c>
      <c r="E10" s="53"/>
      <c r="F10" s="30" t="s">
        <v>45</v>
      </c>
      <c r="G10" s="55">
        <v>8.4654292006485807</v>
      </c>
      <c r="H10" s="55">
        <v>8.9905859006316398</v>
      </c>
    </row>
    <row r="11" spans="1:19" ht="16.5" x14ac:dyDescent="0.3">
      <c r="B11" s="30" t="s">
        <v>46</v>
      </c>
      <c r="C11" s="54">
        <v>5.5738015537169208</v>
      </c>
      <c r="D11" s="54">
        <v>6.5243478810080218</v>
      </c>
      <c r="E11" s="53"/>
      <c r="F11" s="30" t="s">
        <v>46</v>
      </c>
      <c r="G11" s="55">
        <v>7.1900486435468647</v>
      </c>
      <c r="H11" s="55">
        <v>8.2064809660947216</v>
      </c>
    </row>
    <row r="12" spans="1:19" ht="16.5" x14ac:dyDescent="0.3">
      <c r="B12" s="30" t="s">
        <v>47</v>
      </c>
      <c r="C12" s="54">
        <v>3.3158592812480263</v>
      </c>
      <c r="D12" s="54">
        <v>5.175898439967157</v>
      </c>
      <c r="E12" s="53"/>
      <c r="F12" s="30" t="s">
        <v>47</v>
      </c>
      <c r="G12" s="55">
        <v>4.5207037583795167</v>
      </c>
      <c r="H12" s="55">
        <v>7.129546719585683</v>
      </c>
    </row>
    <row r="13" spans="1:19" ht="16.5" x14ac:dyDescent="0.3">
      <c r="B13" s="30" t="s">
        <v>48</v>
      </c>
      <c r="C13" s="54">
        <v>1.0894966209814945</v>
      </c>
      <c r="D13" s="54">
        <v>0.8273858397018885</v>
      </c>
      <c r="E13" s="53"/>
      <c r="F13" s="30" t="s">
        <v>48</v>
      </c>
      <c r="G13" s="55">
        <v>1.4907674064035237</v>
      </c>
      <c r="H13" s="55">
        <v>1.1834176326807193</v>
      </c>
    </row>
    <row r="14" spans="1:19" ht="16.5" x14ac:dyDescent="0.3">
      <c r="C14" s="54">
        <v>48.563127644792516</v>
      </c>
      <c r="D14" s="54">
        <v>51.436872355207477</v>
      </c>
      <c r="E14" s="53"/>
      <c r="G14" s="55">
        <v>47.714237312746548</v>
      </c>
      <c r="H14" s="55">
        <v>52.28576268725346</v>
      </c>
    </row>
    <row r="17" spans="1:1" x14ac:dyDescent="0.25">
      <c r="A17" s="36" t="s">
        <v>55</v>
      </c>
    </row>
  </sheetData>
  <mergeCells count="2">
    <mergeCell ref="C4:D4"/>
    <mergeCell ref="G4:H4"/>
  </mergeCells>
  <hyperlinks>
    <hyperlink ref="A1" location="Gráficos!A1" display="Ir a gráficos" xr:uid="{A8FB7580-5F19-4691-8100-7961BA842AE3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52BA-BF1A-4FF4-BC98-6B25A72A0504}">
  <dimension ref="A1:F17"/>
  <sheetViews>
    <sheetView workbookViewId="0"/>
  </sheetViews>
  <sheetFormatPr baseColWidth="10" defaultRowHeight="15" x14ac:dyDescent="0.25"/>
  <cols>
    <col min="1" max="3" width="11.42578125" style="36"/>
    <col min="4" max="4" width="13.7109375" style="36" customWidth="1"/>
    <col min="5" max="6" width="12.140625" style="36" bestFit="1" customWidth="1"/>
    <col min="7" max="18" width="11.42578125" style="36"/>
    <col min="19" max="19" width="12" style="36" bestFit="1" customWidth="1"/>
    <col min="20" max="22" width="11.42578125" style="36"/>
    <col min="23" max="23" width="12.7109375" style="36" bestFit="1" customWidth="1"/>
    <col min="24" max="16384" width="11.42578125" style="36"/>
  </cols>
  <sheetData>
    <row r="1" spans="1:6" x14ac:dyDescent="0.25">
      <c r="A1" s="103" t="s">
        <v>218</v>
      </c>
    </row>
    <row r="2" spans="1:6" ht="16.5" x14ac:dyDescent="0.3">
      <c r="D2" s="34" t="s">
        <v>60</v>
      </c>
      <c r="E2" s="10" t="s">
        <v>61</v>
      </c>
    </row>
    <row r="4" spans="1:6" x14ac:dyDescent="0.25">
      <c r="E4" s="32" t="s">
        <v>58</v>
      </c>
      <c r="F4" s="32" t="s">
        <v>57</v>
      </c>
    </row>
    <row r="5" spans="1:6" ht="16.5" x14ac:dyDescent="0.3">
      <c r="D5" s="30" t="s">
        <v>41</v>
      </c>
      <c r="E5" s="57">
        <v>376.59486085073468</v>
      </c>
      <c r="F5" s="57">
        <v>353.85480610569255</v>
      </c>
    </row>
    <row r="6" spans="1:6" ht="16.5" x14ac:dyDescent="0.3">
      <c r="D6" s="30" t="s">
        <v>42</v>
      </c>
      <c r="E6" s="57">
        <v>385.75466241713127</v>
      </c>
      <c r="F6" s="57">
        <v>374.53851637021842</v>
      </c>
    </row>
    <row r="7" spans="1:6" ht="16.5" x14ac:dyDescent="0.3">
      <c r="D7" s="30" t="s">
        <v>43</v>
      </c>
      <c r="E7" s="57">
        <v>466.30259302147482</v>
      </c>
      <c r="F7" s="57">
        <v>467.25163225982595</v>
      </c>
    </row>
    <row r="8" spans="1:6" ht="16.5" x14ac:dyDescent="0.3">
      <c r="D8" s="30" t="s">
        <v>44</v>
      </c>
      <c r="E8" s="57">
        <v>556.94293928681032</v>
      </c>
      <c r="F8" s="57">
        <v>551.94635487791481</v>
      </c>
    </row>
    <row r="9" spans="1:6" ht="16.5" x14ac:dyDescent="0.3">
      <c r="D9" s="30" t="s">
        <v>45</v>
      </c>
      <c r="E9" s="57">
        <v>468.24131676916528</v>
      </c>
      <c r="F9" s="57">
        <v>489.171821778425</v>
      </c>
    </row>
    <row r="10" spans="1:6" ht="16.5" x14ac:dyDescent="0.3">
      <c r="D10" s="30" t="s">
        <v>46</v>
      </c>
      <c r="E10" s="57">
        <v>2477.067095235529</v>
      </c>
      <c r="F10" s="57">
        <v>2796.1218741355469</v>
      </c>
    </row>
    <row r="11" spans="1:6" ht="16.5" x14ac:dyDescent="0.3">
      <c r="D11" s="30" t="s">
        <v>47</v>
      </c>
      <c r="E11" s="57">
        <v>1511.5595568129991</v>
      </c>
      <c r="F11" s="57">
        <v>1991.5254114587924</v>
      </c>
    </row>
    <row r="12" spans="1:6" ht="16.5" x14ac:dyDescent="0.3">
      <c r="D12" s="30" t="s">
        <v>48</v>
      </c>
      <c r="E12" s="57">
        <v>569.02531929498514</v>
      </c>
      <c r="F12" s="57">
        <v>1113.5867277817545</v>
      </c>
    </row>
    <row r="15" spans="1:6" x14ac:dyDescent="0.25">
      <c r="C15" s="36" t="s">
        <v>62</v>
      </c>
    </row>
    <row r="17" spans="1:1" x14ac:dyDescent="0.25">
      <c r="A17" s="56" t="s">
        <v>56</v>
      </c>
    </row>
  </sheetData>
  <hyperlinks>
    <hyperlink ref="A1" location="Gráficos!A1" display="Ir a gráficos" xr:uid="{7F98CBC1-98AD-45D4-8FF5-5BDB9D9EFBD1}"/>
  </hyperlink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0E6-2983-42AC-B7CD-DA89C0279F6A}">
  <dimension ref="A1:G51"/>
  <sheetViews>
    <sheetView workbookViewId="0"/>
  </sheetViews>
  <sheetFormatPr baseColWidth="10" defaultColWidth="11.42578125" defaultRowHeight="12.75" x14ac:dyDescent="0.2"/>
  <cols>
    <col min="1" max="1" width="11.42578125" style="58"/>
    <col min="2" max="2" width="26.140625" style="58" customWidth="1"/>
    <col min="3" max="3" width="16.28515625" style="58" customWidth="1"/>
    <col min="4" max="4" width="13.140625" style="58" customWidth="1"/>
    <col min="5" max="5" width="16.28515625" style="58" customWidth="1"/>
    <col min="6" max="6" width="14" style="58" customWidth="1"/>
    <col min="7" max="9" width="11.42578125" style="58"/>
    <col min="10" max="11" width="12" style="58" bestFit="1" customWidth="1"/>
    <col min="12" max="16384" width="11.42578125" style="58"/>
  </cols>
  <sheetData>
    <row r="1" spans="1:6" ht="15" x14ac:dyDescent="0.25">
      <c r="A1" s="103" t="s">
        <v>218</v>
      </c>
    </row>
    <row r="3" spans="1:6" ht="16.5" x14ac:dyDescent="0.3">
      <c r="B3" s="34" t="s">
        <v>89</v>
      </c>
      <c r="C3" s="10" t="s">
        <v>90</v>
      </c>
      <c r="D3" s="72"/>
      <c r="E3" s="71"/>
    </row>
    <row r="4" spans="1:6" x14ac:dyDescent="0.2">
      <c r="B4" s="68"/>
      <c r="D4" s="70"/>
      <c r="E4" s="69"/>
    </row>
    <row r="5" spans="1:6" ht="13.5" x14ac:dyDescent="0.25">
      <c r="B5" s="109" t="s">
        <v>88</v>
      </c>
      <c r="C5" s="67" t="s">
        <v>87</v>
      </c>
      <c r="D5" s="67" t="s">
        <v>40</v>
      </c>
      <c r="E5" s="67" t="s">
        <v>39</v>
      </c>
    </row>
    <row r="6" spans="1:6" ht="15" x14ac:dyDescent="0.25">
      <c r="B6" s="108" t="s">
        <v>20</v>
      </c>
      <c r="C6" s="66">
        <v>2049.8432093494494</v>
      </c>
      <c r="D6" s="65">
        <v>1903.3584401500898</v>
      </c>
      <c r="E6" s="65">
        <v>2190.5986894043817</v>
      </c>
      <c r="F6" s="64"/>
    </row>
    <row r="7" spans="1:6" ht="13.5" x14ac:dyDescent="0.25">
      <c r="B7" s="63" t="s">
        <v>86</v>
      </c>
      <c r="C7" s="62">
        <v>2974.0958029388557</v>
      </c>
      <c r="D7" s="62">
        <v>3148.3275941860488</v>
      </c>
      <c r="E7" s="62">
        <v>2789.9467107913752</v>
      </c>
    </row>
    <row r="8" spans="1:6" ht="13.5" x14ac:dyDescent="0.25">
      <c r="B8" s="63" t="s">
        <v>85</v>
      </c>
      <c r="C8" s="62">
        <v>1301.3188360205331</v>
      </c>
      <c r="D8" s="62">
        <v>1349.0040521285573</v>
      </c>
      <c r="E8" s="62">
        <v>1250.7566665659924</v>
      </c>
    </row>
    <row r="9" spans="1:6" ht="13.5" x14ac:dyDescent="0.25">
      <c r="B9" s="63" t="s">
        <v>84</v>
      </c>
      <c r="C9" s="62">
        <v>1197.0056349234476</v>
      </c>
      <c r="D9" s="62">
        <v>1257.2956814384349</v>
      </c>
      <c r="E9" s="62">
        <v>1132.9144533823935</v>
      </c>
    </row>
    <row r="10" spans="1:6" ht="13.5" x14ac:dyDescent="0.25">
      <c r="B10" s="63" t="s">
        <v>83</v>
      </c>
      <c r="C10" s="62">
        <v>1230.3413035199419</v>
      </c>
      <c r="D10" s="62">
        <v>1096.0363852231612</v>
      </c>
      <c r="E10" s="62">
        <v>1373.3346467538249</v>
      </c>
    </row>
    <row r="11" spans="1:6" ht="13.5" x14ac:dyDescent="0.25">
      <c r="B11" s="63" t="s">
        <v>82</v>
      </c>
      <c r="C11" s="62">
        <v>1336.9623146318006</v>
      </c>
      <c r="D11" s="62">
        <v>1144.6798301597346</v>
      </c>
      <c r="E11" s="62">
        <v>1541.1823195038255</v>
      </c>
    </row>
    <row r="12" spans="1:6" ht="13.5" x14ac:dyDescent="0.25">
      <c r="B12" s="63" t="s">
        <v>81</v>
      </c>
      <c r="C12" s="62">
        <v>1609.4877468401514</v>
      </c>
      <c r="D12" s="62">
        <v>1181.9743551649453</v>
      </c>
      <c r="E12" s="62">
        <v>2051.8554660047785</v>
      </c>
    </row>
    <row r="13" spans="1:6" ht="13.5" x14ac:dyDescent="0.25">
      <c r="B13" s="63" t="s">
        <v>80</v>
      </c>
      <c r="C13" s="62">
        <v>1652.9359537217565</v>
      </c>
      <c r="D13" s="62">
        <v>1181.2042352407855</v>
      </c>
      <c r="E13" s="62">
        <v>2131.7229087138967</v>
      </c>
    </row>
    <row r="14" spans="1:6" ht="13.5" x14ac:dyDescent="0.25">
      <c r="B14" s="63" t="s">
        <v>79</v>
      </c>
      <c r="C14" s="62">
        <v>1713.3995074895499</v>
      </c>
      <c r="D14" s="62">
        <v>1330.8100112460879</v>
      </c>
      <c r="E14" s="62">
        <v>2093.5094701822272</v>
      </c>
    </row>
    <row r="15" spans="1:6" ht="13.5" x14ac:dyDescent="0.25">
      <c r="B15" s="63" t="s">
        <v>78</v>
      </c>
      <c r="C15" s="62">
        <v>1623.0953208054732</v>
      </c>
      <c r="D15" s="62">
        <v>1338.2427452451507</v>
      </c>
      <c r="E15" s="62">
        <v>1909.9053761554389</v>
      </c>
    </row>
    <row r="16" spans="1:6" ht="13.5" x14ac:dyDescent="0.25">
      <c r="B16" s="63" t="s">
        <v>77</v>
      </c>
      <c r="C16" s="62">
        <v>1802.2009839393252</v>
      </c>
      <c r="D16" s="62">
        <v>1588.3457768282215</v>
      </c>
      <c r="E16" s="62">
        <v>2020.1225168529681</v>
      </c>
    </row>
    <row r="17" spans="2:7" ht="13.5" x14ac:dyDescent="0.25">
      <c r="B17" s="63" t="s">
        <v>76</v>
      </c>
      <c r="C17" s="62">
        <v>1862.8582751523722</v>
      </c>
      <c r="D17" s="62">
        <v>1670.0044903688829</v>
      </c>
      <c r="E17" s="62">
        <v>2055.921078318182</v>
      </c>
    </row>
    <row r="18" spans="2:7" ht="13.5" x14ac:dyDescent="0.25">
      <c r="B18" s="63" t="s">
        <v>75</v>
      </c>
      <c r="C18" s="62">
        <v>2243.5869427025068</v>
      </c>
      <c r="D18" s="62">
        <v>2210.8213780592664</v>
      </c>
      <c r="E18" s="62">
        <v>2275.379032956565</v>
      </c>
    </row>
    <row r="19" spans="2:7" ht="13.5" x14ac:dyDescent="0.25">
      <c r="B19" s="63" t="s">
        <v>74</v>
      </c>
      <c r="C19" s="62">
        <v>2358.3922234573502</v>
      </c>
      <c r="D19" s="62">
        <v>2361.1758422709522</v>
      </c>
      <c r="E19" s="62">
        <v>2355.7735243668326</v>
      </c>
    </row>
    <row r="20" spans="2:7" ht="13.5" x14ac:dyDescent="0.25">
      <c r="B20" s="63" t="s">
        <v>73</v>
      </c>
      <c r="C20" s="62">
        <v>2742.230249311689</v>
      </c>
      <c r="D20" s="62">
        <v>2821.7866828406522</v>
      </c>
      <c r="E20" s="62">
        <v>2670.2631429311809</v>
      </c>
    </row>
    <row r="21" spans="2:7" ht="13.5" x14ac:dyDescent="0.25">
      <c r="B21" s="63" t="s">
        <v>72</v>
      </c>
      <c r="C21" s="62">
        <v>2940.0590321044961</v>
      </c>
      <c r="D21" s="62">
        <v>3046.9160073660141</v>
      </c>
      <c r="E21" s="62">
        <v>2847.9711575695519</v>
      </c>
    </row>
    <row r="22" spans="2:7" ht="13.5" x14ac:dyDescent="0.25">
      <c r="B22" s="63" t="s">
        <v>71</v>
      </c>
      <c r="C22" s="62">
        <v>3250.5084948966123</v>
      </c>
      <c r="D22" s="62">
        <v>3522.7965003598902</v>
      </c>
      <c r="E22" s="62">
        <v>3034.434196610056</v>
      </c>
    </row>
    <row r="23" spans="2:7" ht="13.5" x14ac:dyDescent="0.25">
      <c r="B23" s="63" t="s">
        <v>70</v>
      </c>
      <c r="C23" s="62">
        <v>3506.018587185622</v>
      </c>
      <c r="D23" s="62">
        <v>3822.5269161286656</v>
      </c>
      <c r="E23" s="62">
        <v>3283.3545140902929</v>
      </c>
    </row>
    <row r="24" spans="2:7" ht="13.5" x14ac:dyDescent="0.25">
      <c r="B24" s="63" t="s">
        <v>69</v>
      </c>
      <c r="C24" s="62">
        <v>3825.5684036927519</v>
      </c>
      <c r="D24" s="62">
        <v>4360.0186421406815</v>
      </c>
      <c r="E24" s="62">
        <v>3518.9255231480738</v>
      </c>
    </row>
    <row r="25" spans="2:7" ht="13.5" x14ac:dyDescent="0.25">
      <c r="B25" s="63" t="s">
        <v>68</v>
      </c>
      <c r="C25" s="62">
        <v>4048.463040398371</v>
      </c>
      <c r="D25" s="62">
        <v>4663.7090774331873</v>
      </c>
      <c r="E25" s="62">
        <v>3770.4433664941971</v>
      </c>
    </row>
    <row r="26" spans="2:7" ht="13.5" x14ac:dyDescent="0.25">
      <c r="B26" s="63" t="s">
        <v>67</v>
      </c>
      <c r="C26" s="62">
        <v>3896.1677160703234</v>
      </c>
      <c r="D26" s="62">
        <v>4674.0581907264432</v>
      </c>
      <c r="E26" s="62">
        <v>3652.2343975098456</v>
      </c>
    </row>
    <row r="27" spans="2:7" ht="14.25" thickBot="1" x14ac:dyDescent="0.3">
      <c r="B27" s="61" t="s">
        <v>66</v>
      </c>
      <c r="C27" s="60">
        <v>1244.1496810748529</v>
      </c>
      <c r="D27" s="60">
        <v>1043.2435626280637</v>
      </c>
      <c r="E27" s="60">
        <v>1439.3121194224375</v>
      </c>
    </row>
    <row r="28" spans="2:7" x14ac:dyDescent="0.2">
      <c r="G28" s="58" t="s">
        <v>0</v>
      </c>
    </row>
    <row r="31" spans="2:7" x14ac:dyDescent="0.2">
      <c r="C31" s="59"/>
      <c r="D31" s="59"/>
      <c r="E31" s="59"/>
    </row>
    <row r="32" spans="2:7" x14ac:dyDescent="0.2">
      <c r="C32" s="59"/>
      <c r="D32" s="59"/>
      <c r="E32" s="59"/>
    </row>
    <row r="33" spans="3:5" x14ac:dyDescent="0.2">
      <c r="C33" s="59"/>
      <c r="D33" s="59"/>
      <c r="E33" s="59"/>
    </row>
    <row r="34" spans="3:5" x14ac:dyDescent="0.2">
      <c r="C34" s="59"/>
      <c r="D34" s="59"/>
      <c r="E34" s="59"/>
    </row>
    <row r="35" spans="3:5" x14ac:dyDescent="0.2">
      <c r="C35" s="59"/>
      <c r="D35" s="59"/>
      <c r="E35" s="59"/>
    </row>
    <row r="36" spans="3:5" x14ac:dyDescent="0.2">
      <c r="C36" s="59"/>
      <c r="D36" s="59"/>
      <c r="E36" s="59"/>
    </row>
    <row r="37" spans="3:5" x14ac:dyDescent="0.2">
      <c r="C37" s="59"/>
      <c r="D37" s="59"/>
      <c r="E37" s="59"/>
    </row>
    <row r="38" spans="3:5" x14ac:dyDescent="0.2">
      <c r="C38" s="59"/>
      <c r="D38" s="59"/>
      <c r="E38" s="59"/>
    </row>
    <row r="39" spans="3:5" x14ac:dyDescent="0.2">
      <c r="C39" s="59"/>
      <c r="D39" s="59"/>
      <c r="E39" s="59"/>
    </row>
    <row r="40" spans="3:5" x14ac:dyDescent="0.2">
      <c r="C40" s="59"/>
      <c r="D40" s="59"/>
      <c r="E40" s="59"/>
    </row>
    <row r="41" spans="3:5" x14ac:dyDescent="0.2">
      <c r="C41" s="59"/>
      <c r="D41" s="59"/>
      <c r="E41" s="59"/>
    </row>
    <row r="42" spans="3:5" x14ac:dyDescent="0.2">
      <c r="C42" s="59"/>
      <c r="D42" s="59"/>
      <c r="E42" s="59"/>
    </row>
    <row r="43" spans="3:5" x14ac:dyDescent="0.2">
      <c r="C43" s="59"/>
      <c r="D43" s="59"/>
      <c r="E43" s="59"/>
    </row>
    <row r="44" spans="3:5" x14ac:dyDescent="0.2">
      <c r="C44" s="59"/>
      <c r="D44" s="59"/>
      <c r="E44" s="59"/>
    </row>
    <row r="45" spans="3:5" x14ac:dyDescent="0.2">
      <c r="C45" s="59"/>
      <c r="D45" s="59"/>
      <c r="E45" s="59"/>
    </row>
    <row r="46" spans="3:5" x14ac:dyDescent="0.2">
      <c r="C46" s="59"/>
      <c r="D46" s="59"/>
      <c r="E46" s="59"/>
    </row>
    <row r="47" spans="3:5" x14ac:dyDescent="0.2">
      <c r="C47" s="59"/>
      <c r="D47" s="59"/>
      <c r="E47" s="59"/>
    </row>
    <row r="48" spans="3:5" x14ac:dyDescent="0.2">
      <c r="C48" s="59"/>
      <c r="D48" s="59"/>
      <c r="E48" s="59"/>
    </row>
    <row r="49" spans="3:5" x14ac:dyDescent="0.2">
      <c r="C49" s="59"/>
      <c r="D49" s="59"/>
      <c r="E49" s="59"/>
    </row>
    <row r="50" spans="3:5" x14ac:dyDescent="0.2">
      <c r="C50" s="59"/>
      <c r="D50" s="59"/>
      <c r="E50" s="59"/>
    </row>
    <row r="51" spans="3:5" x14ac:dyDescent="0.2">
      <c r="C51" s="59"/>
      <c r="D51" s="59"/>
      <c r="E51" s="59"/>
    </row>
  </sheetData>
  <hyperlinks>
    <hyperlink ref="A1" location="Gráficos!A1" display="Ir a gráficos" xr:uid="{BA66FA29-5EC9-479D-BF08-6028368AD594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1DEA-AA18-47FD-991A-463EEDCFA931}">
  <dimension ref="A1:BF31"/>
  <sheetViews>
    <sheetView showGridLines="0" zoomScale="90" zoomScaleNormal="90" workbookViewId="0"/>
  </sheetViews>
  <sheetFormatPr baseColWidth="10" defaultColWidth="9.140625" defaultRowHeight="15" x14ac:dyDescent="0.25"/>
  <cols>
    <col min="2" max="2" width="15.140625" customWidth="1"/>
    <col min="3" max="3" width="21.28515625" customWidth="1"/>
    <col min="6" max="6" width="13.28515625" bestFit="1" customWidth="1"/>
    <col min="7" max="8" width="9.28515625" bestFit="1" customWidth="1"/>
    <col min="9" max="38" width="9.85546875" bestFit="1" customWidth="1"/>
    <col min="54" max="54" width="10.140625" bestFit="1" customWidth="1"/>
    <col min="59" max="60" width="15.140625" customWidth="1"/>
    <col min="86" max="88" width="9.5703125" bestFit="1" customWidth="1"/>
  </cols>
  <sheetData>
    <row r="1" spans="1:58" x14ac:dyDescent="0.25">
      <c r="A1" s="103" t="s">
        <v>218</v>
      </c>
    </row>
    <row r="2" spans="1:58" x14ac:dyDescent="0.25">
      <c r="AL2" s="35" t="e">
        <f>#REF!-#REF!</f>
        <v>#REF!</v>
      </c>
      <c r="BF2" s="35" t="e">
        <f>#REF!-#REF!</f>
        <v>#REF!</v>
      </c>
    </row>
    <row r="3" spans="1:58" ht="16.5" x14ac:dyDescent="0.3">
      <c r="B3" s="34" t="s">
        <v>93</v>
      </c>
      <c r="C3" s="10" t="s">
        <v>2</v>
      </c>
      <c r="AL3" s="33" t="e">
        <f>+#REF!-#REF!</f>
        <v>#REF!</v>
      </c>
    </row>
    <row r="5" spans="1:58" x14ac:dyDescent="0.25">
      <c r="C5" s="32"/>
      <c r="D5" s="32">
        <v>2016</v>
      </c>
      <c r="E5" s="32">
        <v>2017</v>
      </c>
      <c r="F5" s="32">
        <f t="shared" ref="F5:AK5" si="0">E5+1</f>
        <v>2018</v>
      </c>
      <c r="G5" s="32">
        <f t="shared" si="0"/>
        <v>2019</v>
      </c>
      <c r="H5" s="32">
        <f t="shared" si="0"/>
        <v>2020</v>
      </c>
      <c r="I5" s="32">
        <f t="shared" si="0"/>
        <v>2021</v>
      </c>
      <c r="J5" s="32">
        <f t="shared" si="0"/>
        <v>2022</v>
      </c>
      <c r="K5" s="32">
        <f t="shared" si="0"/>
        <v>2023</v>
      </c>
      <c r="L5" s="32">
        <f t="shared" si="0"/>
        <v>2024</v>
      </c>
      <c r="M5" s="32">
        <f t="shared" si="0"/>
        <v>2025</v>
      </c>
      <c r="N5" s="32">
        <f t="shared" si="0"/>
        <v>2026</v>
      </c>
      <c r="O5" s="32">
        <f t="shared" si="0"/>
        <v>2027</v>
      </c>
      <c r="P5" s="32">
        <f t="shared" si="0"/>
        <v>2028</v>
      </c>
      <c r="Q5" s="32">
        <f t="shared" si="0"/>
        <v>2029</v>
      </c>
      <c r="R5" s="32">
        <f t="shared" si="0"/>
        <v>2030</v>
      </c>
      <c r="S5" s="32">
        <f t="shared" si="0"/>
        <v>2031</v>
      </c>
      <c r="T5" s="32">
        <f t="shared" si="0"/>
        <v>2032</v>
      </c>
      <c r="U5" s="32">
        <f t="shared" si="0"/>
        <v>2033</v>
      </c>
      <c r="V5" s="32">
        <f t="shared" si="0"/>
        <v>2034</v>
      </c>
      <c r="W5" s="32">
        <f t="shared" si="0"/>
        <v>2035</v>
      </c>
      <c r="X5" s="32">
        <f t="shared" si="0"/>
        <v>2036</v>
      </c>
      <c r="Y5" s="32">
        <f t="shared" si="0"/>
        <v>2037</v>
      </c>
      <c r="Z5" s="32">
        <f t="shared" si="0"/>
        <v>2038</v>
      </c>
      <c r="AA5" s="32">
        <f t="shared" si="0"/>
        <v>2039</v>
      </c>
      <c r="AB5" s="32">
        <f t="shared" si="0"/>
        <v>2040</v>
      </c>
      <c r="AC5" s="32">
        <f t="shared" si="0"/>
        <v>2041</v>
      </c>
      <c r="AD5" s="32">
        <f t="shared" si="0"/>
        <v>2042</v>
      </c>
      <c r="AE5" s="32">
        <f t="shared" si="0"/>
        <v>2043</v>
      </c>
      <c r="AF5" s="32">
        <f t="shared" si="0"/>
        <v>2044</v>
      </c>
      <c r="AG5" s="32">
        <f t="shared" si="0"/>
        <v>2045</v>
      </c>
      <c r="AH5" s="32">
        <f t="shared" si="0"/>
        <v>2046</v>
      </c>
      <c r="AI5" s="32">
        <f t="shared" si="0"/>
        <v>2047</v>
      </c>
      <c r="AJ5" s="32">
        <f t="shared" si="0"/>
        <v>2048</v>
      </c>
      <c r="AK5" s="32">
        <f t="shared" si="0"/>
        <v>2049</v>
      </c>
      <c r="AL5" s="32">
        <f t="shared" ref="AL5:BF5" si="1">AK5+1</f>
        <v>2050</v>
      </c>
      <c r="AM5" s="32">
        <f t="shared" si="1"/>
        <v>2051</v>
      </c>
      <c r="AN5" s="32">
        <f t="shared" si="1"/>
        <v>2052</v>
      </c>
      <c r="AO5" s="32">
        <f t="shared" si="1"/>
        <v>2053</v>
      </c>
      <c r="AP5" s="32">
        <f t="shared" si="1"/>
        <v>2054</v>
      </c>
      <c r="AQ5" s="32">
        <f t="shared" si="1"/>
        <v>2055</v>
      </c>
      <c r="AR5" s="32">
        <f t="shared" si="1"/>
        <v>2056</v>
      </c>
      <c r="AS5" s="32">
        <f t="shared" si="1"/>
        <v>2057</v>
      </c>
      <c r="AT5" s="32">
        <f t="shared" si="1"/>
        <v>2058</v>
      </c>
      <c r="AU5" s="32">
        <f t="shared" si="1"/>
        <v>2059</v>
      </c>
      <c r="AV5" s="32">
        <f t="shared" si="1"/>
        <v>2060</v>
      </c>
      <c r="AW5" s="32">
        <f t="shared" si="1"/>
        <v>2061</v>
      </c>
      <c r="AX5" s="32">
        <f t="shared" si="1"/>
        <v>2062</v>
      </c>
      <c r="AY5" s="32">
        <f t="shared" si="1"/>
        <v>2063</v>
      </c>
      <c r="AZ5" s="32">
        <f t="shared" si="1"/>
        <v>2064</v>
      </c>
      <c r="BA5" s="32">
        <f t="shared" si="1"/>
        <v>2065</v>
      </c>
      <c r="BB5" s="32">
        <f t="shared" si="1"/>
        <v>2066</v>
      </c>
      <c r="BC5" s="32">
        <f t="shared" si="1"/>
        <v>2067</v>
      </c>
      <c r="BD5" s="32">
        <f t="shared" si="1"/>
        <v>2068</v>
      </c>
      <c r="BE5" s="32">
        <f t="shared" si="1"/>
        <v>2069</v>
      </c>
      <c r="BF5" s="32">
        <f t="shared" si="1"/>
        <v>2070</v>
      </c>
    </row>
    <row r="6" spans="1:58" x14ac:dyDescent="0.25">
      <c r="B6" s="31"/>
      <c r="C6" s="30" t="s">
        <v>22</v>
      </c>
      <c r="D6" s="28">
        <v>0.75318952072243561</v>
      </c>
      <c r="E6" s="28">
        <v>0.80455943133237118</v>
      </c>
      <c r="F6" s="28">
        <v>1.0087392932076877</v>
      </c>
      <c r="G6" s="28">
        <v>1.2031055267905064</v>
      </c>
      <c r="H6" s="28">
        <v>0.54408643036782023</v>
      </c>
      <c r="I6" s="28">
        <v>0.88538692498998495</v>
      </c>
      <c r="J6" s="28">
        <v>1.4011974581004729</v>
      </c>
      <c r="K6" s="28">
        <v>1.2818926690858616</v>
      </c>
      <c r="L6" s="28">
        <v>1.6341590288335472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</row>
    <row r="7" spans="1:58" x14ac:dyDescent="0.25">
      <c r="C7" s="30" t="s">
        <v>21</v>
      </c>
      <c r="D7" s="28">
        <v>1.3796166330793924</v>
      </c>
      <c r="E7" s="28">
        <v>2.1872264612314707</v>
      </c>
      <c r="F7" s="28">
        <v>3.0587175821612664</v>
      </c>
      <c r="G7" s="28">
        <v>4.7391061251507764</v>
      </c>
      <c r="H7" s="28">
        <v>11.271808286970375</v>
      </c>
      <c r="I7" s="28">
        <v>4.3524286294813939</v>
      </c>
      <c r="J7" s="28">
        <v>2.7930772588840078</v>
      </c>
      <c r="K7" s="28">
        <v>3.6805058996331512</v>
      </c>
      <c r="L7" s="28">
        <v>4.705514016883404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</row>
    <row r="8" spans="1:58" x14ac:dyDescent="0.25">
      <c r="C8" s="30" t="s">
        <v>20</v>
      </c>
      <c r="D8" s="28">
        <v>2.1328061538018281</v>
      </c>
      <c r="E8" s="28">
        <v>2.9917858925638421</v>
      </c>
      <c r="F8" s="28">
        <v>4.0674568753689542</v>
      </c>
      <c r="G8" s="28">
        <v>5.9422116519412826</v>
      </c>
      <c r="H8" s="28">
        <v>11.815894717338194</v>
      </c>
      <c r="I8" s="28">
        <v>5.2378155544713785</v>
      </c>
      <c r="J8" s="28">
        <v>4.1942747169844807</v>
      </c>
      <c r="K8" s="28">
        <v>4.9623985687190126</v>
      </c>
      <c r="L8" s="28">
        <v>6.3396730457169514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</row>
    <row r="9" spans="1:58" x14ac:dyDescent="0.25">
      <c r="C9" s="30" t="s">
        <v>22</v>
      </c>
      <c r="D9" s="29"/>
      <c r="E9" s="29"/>
      <c r="F9" s="29"/>
      <c r="G9" s="29"/>
      <c r="H9" s="29"/>
      <c r="I9" s="29"/>
      <c r="J9" s="29"/>
      <c r="K9" s="28"/>
      <c r="L9" s="28"/>
      <c r="M9" s="28">
        <v>1.1343349177182478</v>
      </c>
      <c r="N9" s="28">
        <v>0.88670539987164765</v>
      </c>
      <c r="O9" s="28">
        <v>0.87961248239445067</v>
      </c>
      <c r="P9" s="28">
        <v>0.86049624875190944</v>
      </c>
      <c r="Q9" s="28">
        <v>0.87847776165339608</v>
      </c>
      <c r="R9" s="28">
        <v>0.89281527897443047</v>
      </c>
      <c r="S9" s="28">
        <v>0.86554250859776383</v>
      </c>
      <c r="T9" s="28">
        <v>0.88789878991451865</v>
      </c>
      <c r="U9" s="28">
        <v>0.91284020607544525</v>
      </c>
      <c r="V9" s="28">
        <v>0.86006073387770576</v>
      </c>
      <c r="W9" s="28">
        <v>0.83120604719207458</v>
      </c>
      <c r="X9" s="28">
        <v>0.81894389451960181</v>
      </c>
      <c r="Y9" s="28">
        <v>0.79905281838278008</v>
      </c>
      <c r="Z9" s="28">
        <v>0.79280287963548179</v>
      </c>
      <c r="AA9" s="28">
        <v>0.7617061140525111</v>
      </c>
      <c r="AB9" s="28">
        <v>0.73842140312211724</v>
      </c>
      <c r="AC9" s="28">
        <v>0.75111885140863044</v>
      </c>
      <c r="AD9" s="28">
        <v>0.6998580147238157</v>
      </c>
      <c r="AE9" s="28">
        <v>0.65759954343734606</v>
      </c>
      <c r="AF9" s="28">
        <v>0.62889159273807171</v>
      </c>
      <c r="AG9" s="28">
        <v>0.57815060354500147</v>
      </c>
      <c r="AH9" s="28">
        <v>0.50937545925468175</v>
      </c>
      <c r="AI9" s="28">
        <v>0.44487038674982088</v>
      </c>
      <c r="AJ9" s="28">
        <v>0.39265348032317587</v>
      </c>
      <c r="AK9" s="28">
        <v>0.32594456715109987</v>
      </c>
      <c r="AL9" s="28">
        <v>0.26484489920366916</v>
      </c>
      <c r="AM9" s="28">
        <v>0.2184079707671446</v>
      </c>
      <c r="AN9" s="28">
        <v>0.18568604899108815</v>
      </c>
      <c r="AO9" s="28">
        <v>0.16443615758298982</v>
      </c>
      <c r="AP9" s="28">
        <v>0.1382136584917629</v>
      </c>
      <c r="AQ9" s="28">
        <v>0.11587859700181551</v>
      </c>
      <c r="AR9" s="28">
        <v>0.10394182245283985</v>
      </c>
      <c r="AS9" s="28">
        <v>9.2564981924239384E-2</v>
      </c>
      <c r="AT9" s="28">
        <v>8.6320654948589773E-2</v>
      </c>
      <c r="AU9" s="28">
        <v>7.1008420464918953E-2</v>
      </c>
      <c r="AV9" s="28">
        <v>3.5354875620443149E-2</v>
      </c>
      <c r="AW9" s="28">
        <v>2.0518741248584074E-2</v>
      </c>
      <c r="AX9" s="28">
        <v>-2.6221816294016717E-3</v>
      </c>
      <c r="AY9" s="28">
        <v>-3.4666242415909519E-3</v>
      </c>
      <c r="AZ9" s="28">
        <v>-1.0614571308462398E-2</v>
      </c>
      <c r="BA9" s="28">
        <v>1.4526921154323814E-2</v>
      </c>
      <c r="BB9" s="28">
        <v>2.1475707683105322E-2</v>
      </c>
      <c r="BC9" s="28">
        <v>3.3558800041663277E-2</v>
      </c>
      <c r="BD9" s="28">
        <v>5.7519902221950303E-2</v>
      </c>
      <c r="BE9" s="28">
        <v>8.9013546178180109E-2</v>
      </c>
      <c r="BF9" s="28">
        <v>0.11859967282862648</v>
      </c>
    </row>
    <row r="10" spans="1:58" x14ac:dyDescent="0.25">
      <c r="C10" s="30" t="s">
        <v>21</v>
      </c>
      <c r="D10" s="29"/>
      <c r="E10" s="29"/>
      <c r="F10" s="29"/>
      <c r="G10" s="29"/>
      <c r="H10" s="29"/>
      <c r="I10" s="29"/>
      <c r="J10" s="29"/>
      <c r="K10" s="28"/>
      <c r="L10" s="28"/>
      <c r="M10" s="28">
        <v>2.7510591721067525</v>
      </c>
      <c r="N10" s="28">
        <v>3.1483256768222483</v>
      </c>
      <c r="O10" s="28">
        <v>3.3167302696233163</v>
      </c>
      <c r="P10" s="28">
        <v>3.3796808129798115</v>
      </c>
      <c r="Q10" s="28">
        <v>3.4750832167745882</v>
      </c>
      <c r="R10" s="28">
        <v>3.491615713283351</v>
      </c>
      <c r="S10" s="28">
        <v>3.5936493082215448</v>
      </c>
      <c r="T10" s="28">
        <v>3.6146843887751383</v>
      </c>
      <c r="U10" s="28">
        <v>3.5692215546667723</v>
      </c>
      <c r="V10" s="28">
        <v>3.5003471457820829</v>
      </c>
      <c r="W10" s="28">
        <v>3.4641566439535127</v>
      </c>
      <c r="X10" s="28">
        <v>3.4381415871941501</v>
      </c>
      <c r="Y10" s="28">
        <v>3.4465448088381851</v>
      </c>
      <c r="Z10" s="28">
        <v>3.4389381222265953</v>
      </c>
      <c r="AA10" s="28">
        <v>3.4541991995749668</v>
      </c>
      <c r="AB10" s="28">
        <v>3.4626705698100744</v>
      </c>
      <c r="AC10" s="28">
        <v>3.4382159017258691</v>
      </c>
      <c r="AD10" s="28">
        <v>3.4570679189856941</v>
      </c>
      <c r="AE10" s="28">
        <v>3.4682438941085274</v>
      </c>
      <c r="AF10" s="28">
        <v>3.4458948027386436</v>
      </c>
      <c r="AG10" s="28">
        <v>3.4401550739651574</v>
      </c>
      <c r="AH10" s="28">
        <v>3.4633872713729956</v>
      </c>
      <c r="AI10" s="28">
        <v>3.4759048961464512</v>
      </c>
      <c r="AJ10" s="28">
        <v>3.4800855638918144</v>
      </c>
      <c r="AK10" s="28">
        <v>3.492587581626287</v>
      </c>
      <c r="AL10" s="28">
        <v>3.5046557422231124</v>
      </c>
      <c r="AM10" s="28">
        <v>3.5053552711439151</v>
      </c>
      <c r="AN10" s="28">
        <v>3.4970320862267226</v>
      </c>
      <c r="AO10" s="28">
        <v>3.4879587233955367</v>
      </c>
      <c r="AP10" s="28">
        <v>3.4894687887879932</v>
      </c>
      <c r="AQ10" s="28">
        <v>3.4857972002173128</v>
      </c>
      <c r="AR10" s="28">
        <v>3.4678812232938405</v>
      </c>
      <c r="AS10" s="28">
        <v>3.4451443603495808</v>
      </c>
      <c r="AT10" s="28">
        <v>3.4127036115457869</v>
      </c>
      <c r="AU10" s="28">
        <v>3.3841410605888909</v>
      </c>
      <c r="AV10" s="28">
        <v>3.3636971812021614</v>
      </c>
      <c r="AW10" s="28">
        <v>3.3243422117263424</v>
      </c>
      <c r="AX10" s="28">
        <v>3.289848748378581</v>
      </c>
      <c r="AY10" s="28">
        <v>3.2401048254132507</v>
      </c>
      <c r="AZ10" s="28">
        <v>3.2053117093690831</v>
      </c>
      <c r="BA10" s="28">
        <v>3.1416950067731593</v>
      </c>
      <c r="BB10" s="28">
        <v>3.0968956811227799</v>
      </c>
      <c r="BC10" s="28">
        <v>3.0439589538821341</v>
      </c>
      <c r="BD10" s="28">
        <v>2.9837543891598401</v>
      </c>
      <c r="BE10" s="28">
        <v>2.9139812141661774</v>
      </c>
      <c r="BF10" s="28">
        <v>2.8475128704768502</v>
      </c>
    </row>
    <row r="11" spans="1:58" ht="15.75" thickBot="1" x14ac:dyDescent="0.3">
      <c r="C11" s="27" t="s">
        <v>20</v>
      </c>
      <c r="D11" s="26"/>
      <c r="E11" s="26"/>
      <c r="F11" s="26"/>
      <c r="G11" s="26"/>
      <c r="H11" s="26"/>
      <c r="I11" s="26"/>
      <c r="J11" s="26"/>
      <c r="K11" s="26"/>
      <c r="L11" s="26"/>
      <c r="M11" s="26">
        <v>3.8853940898250006</v>
      </c>
      <c r="N11" s="26">
        <v>4.0350310766938957</v>
      </c>
      <c r="O11" s="26">
        <v>4.1963427520177676</v>
      </c>
      <c r="P11" s="26">
        <v>4.2401770617317203</v>
      </c>
      <c r="Q11" s="26">
        <v>4.3535609784279838</v>
      </c>
      <c r="R11" s="26">
        <v>4.3844309922577818</v>
      </c>
      <c r="S11" s="26">
        <v>4.4591918168193079</v>
      </c>
      <c r="T11" s="26">
        <v>4.5025831786896564</v>
      </c>
      <c r="U11" s="26">
        <v>4.4820617607422175</v>
      </c>
      <c r="V11" s="26">
        <v>4.3604078796597889</v>
      </c>
      <c r="W11" s="26">
        <v>4.2953626911455878</v>
      </c>
      <c r="X11" s="26">
        <v>4.2570854817137516</v>
      </c>
      <c r="Y11" s="26">
        <v>4.245597627220965</v>
      </c>
      <c r="Z11" s="26">
        <v>4.2317410018620771</v>
      </c>
      <c r="AA11" s="26">
        <v>4.2159053136274771</v>
      </c>
      <c r="AB11" s="26">
        <v>4.2010919729321916</v>
      </c>
      <c r="AC11" s="26">
        <v>4.1893347531344993</v>
      </c>
      <c r="AD11" s="26">
        <v>4.1569259337095099</v>
      </c>
      <c r="AE11" s="26">
        <v>4.125843437545873</v>
      </c>
      <c r="AF11" s="26">
        <v>4.074786395476715</v>
      </c>
      <c r="AG11" s="26">
        <v>4.0183056775101589</v>
      </c>
      <c r="AH11" s="26">
        <v>3.9727627306276769</v>
      </c>
      <c r="AI11" s="26">
        <v>3.9207752828962716</v>
      </c>
      <c r="AJ11" s="26">
        <v>3.87273904421499</v>
      </c>
      <c r="AK11" s="26">
        <v>3.8185321487773871</v>
      </c>
      <c r="AL11" s="26">
        <v>3.7695006414267818</v>
      </c>
      <c r="AM11" s="26">
        <v>3.72376324191106</v>
      </c>
      <c r="AN11" s="26">
        <v>3.6827181352178107</v>
      </c>
      <c r="AO11" s="26">
        <v>3.6523948809785267</v>
      </c>
      <c r="AP11" s="26">
        <v>3.6276824472797564</v>
      </c>
      <c r="AQ11" s="26">
        <v>3.6016757972191282</v>
      </c>
      <c r="AR11" s="26">
        <v>3.5718230457466804</v>
      </c>
      <c r="AS11" s="26">
        <v>3.5377093422738204</v>
      </c>
      <c r="AT11" s="26">
        <v>3.4990242664943771</v>
      </c>
      <c r="AU11" s="26">
        <v>3.4551494810538097</v>
      </c>
      <c r="AV11" s="26">
        <v>3.3990520568226046</v>
      </c>
      <c r="AW11" s="26">
        <v>3.3448609529749262</v>
      </c>
      <c r="AX11" s="26">
        <v>3.2872265667491796</v>
      </c>
      <c r="AY11" s="26">
        <v>3.2366382011716599</v>
      </c>
      <c r="AZ11" s="26">
        <v>3.1946971380606204</v>
      </c>
      <c r="BA11" s="26">
        <v>3.1562219279274828</v>
      </c>
      <c r="BB11" s="26">
        <v>3.118371388805885</v>
      </c>
      <c r="BC11" s="26">
        <v>3.0775177539237974</v>
      </c>
      <c r="BD11" s="26">
        <v>3.0412742913817903</v>
      </c>
      <c r="BE11" s="26">
        <v>3.0029947603443574</v>
      </c>
      <c r="BF11" s="26">
        <v>2.9661125433054769</v>
      </c>
    </row>
    <row r="13" spans="1:58" x14ac:dyDescent="0.25">
      <c r="C13" s="25" t="s">
        <v>94</v>
      </c>
    </row>
    <row r="31" spans="8:8" x14ac:dyDescent="0.25">
      <c r="H31">
        <f>14.2+0.4+0.2+0.2</f>
        <v>14.999999999999998</v>
      </c>
    </row>
  </sheetData>
  <hyperlinks>
    <hyperlink ref="A1" location="Gráficos!A1" display="Ir a gráficos" xr:uid="{C249231C-07AE-42BC-8672-C6B84440BE99}"/>
  </hyperlinks>
  <pageMargins left="0.7" right="0.7" top="0.75" bottom="0.75" header="0.3" footer="0.3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76CB-025E-485F-8369-53FAA9224553}">
  <dimension ref="A1:S29"/>
  <sheetViews>
    <sheetView workbookViewId="0"/>
  </sheetViews>
  <sheetFormatPr baseColWidth="10" defaultRowHeight="15" x14ac:dyDescent="0.25"/>
  <cols>
    <col min="1" max="1" width="11.42578125" style="104"/>
    <col min="2" max="2" width="58.5703125" style="104" customWidth="1"/>
    <col min="3" max="16384" width="11.42578125" style="104"/>
  </cols>
  <sheetData>
    <row r="1" spans="1:19" x14ac:dyDescent="0.25">
      <c r="A1" s="103" t="s">
        <v>218</v>
      </c>
    </row>
    <row r="2" spans="1:19" ht="16.5" x14ac:dyDescent="0.3">
      <c r="B2" s="34" t="s">
        <v>245</v>
      </c>
      <c r="C2" s="10" t="s">
        <v>202</v>
      </c>
    </row>
    <row r="4" spans="1:19" s="106" customFormat="1" x14ac:dyDescent="0.25">
      <c r="B4" s="107" t="s">
        <v>241</v>
      </c>
      <c r="C4" s="67" t="s">
        <v>240</v>
      </c>
      <c r="D4" s="67" t="s">
        <v>239</v>
      </c>
      <c r="E4" s="67" t="s">
        <v>238</v>
      </c>
      <c r="F4" s="67" t="s">
        <v>237</v>
      </c>
      <c r="G4" s="67" t="s">
        <v>236</v>
      </c>
      <c r="H4" s="67" t="s">
        <v>235</v>
      </c>
      <c r="I4" s="67" t="s">
        <v>234</v>
      </c>
      <c r="J4" s="67" t="s">
        <v>233</v>
      </c>
      <c r="K4" s="67" t="s">
        <v>232</v>
      </c>
      <c r="L4" s="67" t="s">
        <v>231</v>
      </c>
      <c r="M4" s="67" t="s">
        <v>230</v>
      </c>
      <c r="N4" s="67" t="s">
        <v>229</v>
      </c>
      <c r="O4" s="67" t="s">
        <v>228</v>
      </c>
      <c r="P4" s="67" t="s">
        <v>227</v>
      </c>
      <c r="Q4" s="67" t="s">
        <v>226</v>
      </c>
      <c r="R4" s="67" t="s">
        <v>225</v>
      </c>
      <c r="S4" s="67" t="s">
        <v>224</v>
      </c>
    </row>
    <row r="5" spans="1:19" x14ac:dyDescent="0.25">
      <c r="B5" s="63" t="s">
        <v>223</v>
      </c>
      <c r="C5" s="105">
        <f>[3]Hoja1!B60</f>
        <v>0.93078916389536737</v>
      </c>
      <c r="D5" s="105">
        <f>[3]Hoja1!C60</f>
        <v>0.58679096431605493</v>
      </c>
      <c r="E5" s="105">
        <f>[3]Hoja1!D60</f>
        <v>0.30559956672355171</v>
      </c>
      <c r="F5" s="105">
        <f>[3]Hoja1!E60</f>
        <v>1.5783596771890136</v>
      </c>
      <c r="G5" s="105">
        <f>[3]Hoja1!F60</f>
        <v>1.5732556916316465</v>
      </c>
      <c r="H5" s="105">
        <f>[3]Hoja1!G60</f>
        <v>0.60218533957188269</v>
      </c>
      <c r="I5" s="105">
        <f>[3]Hoja1!H60</f>
        <v>0.13851860994140947</v>
      </c>
      <c r="J5" s="105">
        <f>[3]Hoja1!I60</f>
        <v>0.75902222460171909</v>
      </c>
      <c r="K5" s="105">
        <f>[3]Hoja1!J60</f>
        <v>1.1415030683186109</v>
      </c>
      <c r="L5" s="105">
        <f>[3]Hoja1!K60</f>
        <v>1.2973835674899303</v>
      </c>
      <c r="M5" s="105">
        <f>[3]Hoja1!L60</f>
        <v>0.22566528483373449</v>
      </c>
      <c r="N5" s="105">
        <f>[3]Hoja1!M60</f>
        <v>0.27044354942085369</v>
      </c>
      <c r="O5" s="105">
        <f>[3]Hoja1!N60</f>
        <v>1.5247948424912485</v>
      </c>
      <c r="P5" s="105">
        <f>[3]Hoja1!O60</f>
        <v>1.245759582227975</v>
      </c>
      <c r="Q5" s="105">
        <f>[3]Hoja1!P60</f>
        <v>0.93319643715063205</v>
      </c>
      <c r="R5" s="105">
        <f>[3]Hoja1!Q60</f>
        <v>0.80189355090363412</v>
      </c>
      <c r="S5" s="105">
        <f>[3]Hoja1!R60</f>
        <v>0.63955778734575819</v>
      </c>
    </row>
    <row r="6" spans="1:19" x14ac:dyDescent="0.25">
      <c r="B6" s="63" t="s">
        <v>222</v>
      </c>
      <c r="C6" s="105">
        <f>[3]Hoja1!B40</f>
        <v>4.5542102618675475</v>
      </c>
      <c r="D6" s="105">
        <f>[3]Hoja1!C40</f>
        <v>4.6442378702079621</v>
      </c>
      <c r="E6" s="105">
        <f>[3]Hoja1!D40</f>
        <v>3.7416109986428379</v>
      </c>
      <c r="F6" s="105">
        <f>[3]Hoja1!E40</f>
        <v>4.1650110729937762</v>
      </c>
      <c r="G6" s="105">
        <f>[3]Hoja1!F40</f>
        <v>4.3412201884393786</v>
      </c>
      <c r="H6" s="105">
        <f>[3]Hoja1!G40</f>
        <v>4.3685641413032847</v>
      </c>
      <c r="I6" s="105">
        <f>[3]Hoja1!H40</f>
        <v>3.982584224753853</v>
      </c>
      <c r="J6" s="105">
        <f>[3]Hoja1!I40</f>
        <v>4.5158159230614032</v>
      </c>
      <c r="K6" s="105">
        <f>[3]Hoja1!J40</f>
        <v>5.0906749866657881</v>
      </c>
      <c r="L6" s="105">
        <f>[3]Hoja1!K40</f>
        <v>3.7790484383141525</v>
      </c>
      <c r="M6" s="105">
        <f>[3]Hoja1!L40</f>
        <v>3.6281670742104435</v>
      </c>
      <c r="N6" s="105">
        <f>[3]Hoja1!M40</f>
        <v>3.843824800627015</v>
      </c>
      <c r="O6" s="105">
        <f>[3]Hoja1!N40</f>
        <v>3.7287671374930076</v>
      </c>
      <c r="P6" s="105">
        <f>[3]Hoja1!O40</f>
        <v>4.000496788982205</v>
      </c>
      <c r="Q6" s="105">
        <f>[3]Hoja1!P40</f>
        <v>4.0419616396182469</v>
      </c>
      <c r="R6" s="105">
        <f>[3]Hoja1!Q40</f>
        <v>3.0459257445435135</v>
      </c>
      <c r="S6" s="105">
        <f>[3]Hoja1!R40</f>
        <v>3.6609985511177938</v>
      </c>
    </row>
    <row r="7" spans="1:19" x14ac:dyDescent="0.25">
      <c r="B7" s="63" t="s">
        <v>221</v>
      </c>
      <c r="C7" s="105">
        <f>[3]Hoja1!B20</f>
        <v>5.4849994257629158</v>
      </c>
      <c r="D7" s="105">
        <f>[3]Hoja1!C20</f>
        <v>5.2310288345240172</v>
      </c>
      <c r="E7" s="105">
        <f>[3]Hoja1!D20</f>
        <v>4.047210565366389</v>
      </c>
      <c r="F7" s="105">
        <f>[3]Hoja1!E20</f>
        <v>5.7433707501827893</v>
      </c>
      <c r="G7" s="105">
        <f>[3]Hoja1!F20</f>
        <v>5.9144758800710253</v>
      </c>
      <c r="H7" s="105">
        <f>[3]Hoja1!G20</f>
        <v>4.9707494808751678</v>
      </c>
      <c r="I7" s="105">
        <f>[3]Hoja1!H20</f>
        <v>4.1211028346952627</v>
      </c>
      <c r="J7" s="105">
        <f>[3]Hoja1!I20</f>
        <v>5.2748381476631225</v>
      </c>
      <c r="K7" s="105">
        <f>[3]Hoja1!J20</f>
        <v>6.2321780549843995</v>
      </c>
      <c r="L7" s="105">
        <f>[3]Hoja1!K20</f>
        <v>5.0764320058040822</v>
      </c>
      <c r="M7" s="105">
        <f>[3]Hoja1!L20</f>
        <v>3.8538323590441781</v>
      </c>
      <c r="N7" s="105">
        <f>[3]Hoja1!M20</f>
        <v>4.1142683500478698</v>
      </c>
      <c r="O7" s="105">
        <f>[3]Hoja1!N20</f>
        <v>5.2535619799842559</v>
      </c>
      <c r="P7" s="105">
        <f>[3]Hoja1!O20</f>
        <v>5.2462563712101797</v>
      </c>
      <c r="Q7" s="105">
        <f>[3]Hoja1!P20</f>
        <v>4.9751580767688806</v>
      </c>
      <c r="R7" s="105">
        <f>[3]Hoja1!Q20</f>
        <v>3.8478192954471471</v>
      </c>
      <c r="S7" s="105">
        <f>[3]Hoja1!R20</f>
        <v>4.3005563384635526</v>
      </c>
    </row>
    <row r="29" spans="2:2" x14ac:dyDescent="0.25">
      <c r="B29" s="104" t="s">
        <v>94</v>
      </c>
    </row>
  </sheetData>
  <hyperlinks>
    <hyperlink ref="A1" location="Gráficos!A1" display="Ir a gráficos" xr:uid="{B7360647-84F2-4005-A904-5C0B20E8749B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929C-A415-421E-B3E7-1EE3C06AFE3E}">
  <dimension ref="A1:L21"/>
  <sheetViews>
    <sheetView workbookViewId="0"/>
  </sheetViews>
  <sheetFormatPr baseColWidth="10" defaultColWidth="9.140625" defaultRowHeight="15" x14ac:dyDescent="0.25"/>
  <cols>
    <col min="1" max="2" width="9.140625" style="75"/>
    <col min="3" max="3" width="14.140625" style="75" customWidth="1"/>
    <col min="4" max="10" width="9.140625" style="75"/>
    <col min="11" max="11" width="34.28515625" style="75" customWidth="1"/>
    <col min="12" max="16384" width="9.140625" style="75"/>
  </cols>
  <sheetData>
    <row r="1" spans="1:12" x14ac:dyDescent="0.25">
      <c r="A1" s="103" t="s">
        <v>218</v>
      </c>
      <c r="B1" s="115"/>
    </row>
    <row r="2" spans="1:12" ht="16.5" x14ac:dyDescent="0.3">
      <c r="A2" s="94"/>
      <c r="B2" s="94"/>
      <c r="C2" s="34" t="s">
        <v>101</v>
      </c>
      <c r="D2" s="10" t="s">
        <v>102</v>
      </c>
    </row>
    <row r="3" spans="1:12" x14ac:dyDescent="0.25">
      <c r="A3" s="93"/>
      <c r="B3" s="93"/>
    </row>
    <row r="4" spans="1:12" x14ac:dyDescent="0.25">
      <c r="A4" s="95"/>
      <c r="B4" s="95"/>
    </row>
    <row r="5" spans="1:12" x14ac:dyDescent="0.25">
      <c r="A5" s="94"/>
      <c r="B5" s="94"/>
    </row>
    <row r="7" spans="1:12" x14ac:dyDescent="0.25">
      <c r="L7" s="32" t="s">
        <v>104</v>
      </c>
    </row>
    <row r="8" spans="1:12" ht="16.5" x14ac:dyDescent="0.3">
      <c r="K8" s="30" t="s">
        <v>100</v>
      </c>
      <c r="L8" s="76">
        <v>29.554324779778096</v>
      </c>
    </row>
    <row r="9" spans="1:12" ht="16.5" x14ac:dyDescent="0.3">
      <c r="K9" s="30" t="s">
        <v>99</v>
      </c>
      <c r="L9" s="76">
        <v>32.269684319348833</v>
      </c>
    </row>
    <row r="10" spans="1:12" ht="16.5" x14ac:dyDescent="0.3">
      <c r="K10" s="30" t="s">
        <v>98</v>
      </c>
      <c r="L10" s="76">
        <v>2.1773167552167161</v>
      </c>
    </row>
    <row r="11" spans="1:12" ht="16.5" x14ac:dyDescent="0.3">
      <c r="K11" s="30" t="s">
        <v>97</v>
      </c>
      <c r="L11" s="76">
        <v>2.9654258715526316</v>
      </c>
    </row>
    <row r="12" spans="1:12" ht="16.5" x14ac:dyDescent="0.3">
      <c r="K12" s="30" t="s">
        <v>96</v>
      </c>
      <c r="L12" s="76">
        <v>20.644723340767314</v>
      </c>
    </row>
    <row r="13" spans="1:12" ht="16.5" x14ac:dyDescent="0.3">
      <c r="K13" s="30" t="s">
        <v>95</v>
      </c>
      <c r="L13" s="76">
        <v>12.388524933336408</v>
      </c>
    </row>
    <row r="21" spans="3:3" x14ac:dyDescent="0.25">
      <c r="C21" s="75" t="s">
        <v>103</v>
      </c>
    </row>
  </sheetData>
  <mergeCells count="4">
    <mergeCell ref="A2:B2"/>
    <mergeCell ref="A3:B3"/>
    <mergeCell ref="A4:B4"/>
    <mergeCell ref="A5:B5"/>
  </mergeCells>
  <hyperlinks>
    <hyperlink ref="A1" location="Gráficos!A1" display="Ir a gráficos" xr:uid="{FF8EE255-FE4F-4445-B59E-4BB37E437831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07EE-A57C-42ED-99B3-BE606FAD8E88}">
  <dimension ref="A1:R45"/>
  <sheetViews>
    <sheetView workbookViewId="0"/>
  </sheetViews>
  <sheetFormatPr baseColWidth="10" defaultRowHeight="15" x14ac:dyDescent="0.25"/>
  <cols>
    <col min="1" max="1" width="11.42578125" style="36"/>
    <col min="2" max="2" width="29.85546875" style="36" bestFit="1" customWidth="1"/>
    <col min="3" max="3" width="21.28515625" style="36" customWidth="1"/>
    <col min="4" max="4" width="18.85546875" style="36" customWidth="1"/>
    <col min="5" max="16384" width="11.42578125" style="36"/>
  </cols>
  <sheetData>
    <row r="1" spans="1:4" x14ac:dyDescent="0.25">
      <c r="A1" s="103" t="s">
        <v>218</v>
      </c>
    </row>
    <row r="2" spans="1:4" ht="16.5" x14ac:dyDescent="0.3">
      <c r="B2" s="34" t="s">
        <v>107</v>
      </c>
      <c r="C2" s="10" t="s">
        <v>108</v>
      </c>
    </row>
    <row r="4" spans="1:4" x14ac:dyDescent="0.25">
      <c r="C4" s="32" t="s">
        <v>106</v>
      </c>
      <c r="D4" s="32" t="s">
        <v>105</v>
      </c>
    </row>
    <row r="5" spans="1:4" ht="16.5" x14ac:dyDescent="0.3">
      <c r="B5" s="30" t="s">
        <v>100</v>
      </c>
      <c r="C5" s="81">
        <v>4408556</v>
      </c>
      <c r="D5" s="82">
        <v>3.7647045427119448</v>
      </c>
    </row>
    <row r="6" spans="1:4" ht="16.5" x14ac:dyDescent="0.3">
      <c r="B6" s="30" t="s">
        <v>99</v>
      </c>
      <c r="C6" s="81">
        <v>3868321</v>
      </c>
      <c r="D6" s="82">
        <v>4.6846638115089201</v>
      </c>
    </row>
    <row r="7" spans="1:4" ht="16.5" x14ac:dyDescent="0.3">
      <c r="B7" s="30" t="s">
        <v>98</v>
      </c>
      <c r="C7" s="81">
        <v>716951</v>
      </c>
      <c r="D7" s="82">
        <v>1.7054475131494342</v>
      </c>
    </row>
    <row r="8" spans="1:4" ht="16.5" x14ac:dyDescent="0.3">
      <c r="B8" s="30" t="s">
        <v>97</v>
      </c>
      <c r="C8" s="81">
        <v>41521</v>
      </c>
      <c r="D8" s="82">
        <v>40.107490185689173</v>
      </c>
    </row>
    <row r="9" spans="1:4" ht="16.5" x14ac:dyDescent="0.3">
      <c r="B9" s="30" t="s">
        <v>96</v>
      </c>
      <c r="C9" s="83">
        <v>1227820</v>
      </c>
      <c r="D9" s="82">
        <v>9.4423606066035735</v>
      </c>
    </row>
    <row r="12" spans="1:4" x14ac:dyDescent="0.25">
      <c r="B12" s="36" t="s">
        <v>109</v>
      </c>
    </row>
    <row r="13" spans="1:4" ht="15" customHeight="1" x14ac:dyDescent="0.25">
      <c r="B13" s="98"/>
      <c r="C13" s="99"/>
    </row>
    <row r="14" spans="1:4" x14ac:dyDescent="0.25">
      <c r="B14" s="97"/>
      <c r="C14" s="97"/>
    </row>
    <row r="15" spans="1:4" x14ac:dyDescent="0.25">
      <c r="B15" s="97"/>
      <c r="C15" s="97"/>
    </row>
    <row r="16" spans="1:4" x14ac:dyDescent="0.25">
      <c r="B16" s="97"/>
      <c r="C16" s="97"/>
    </row>
    <row r="17" spans="2:3" x14ac:dyDescent="0.25">
      <c r="B17" s="79"/>
      <c r="C17" s="78"/>
    </row>
    <row r="18" spans="2:3" x14ac:dyDescent="0.25">
      <c r="B18" s="79"/>
      <c r="C18" s="78"/>
    </row>
    <row r="19" spans="2:3" x14ac:dyDescent="0.25">
      <c r="B19" s="79"/>
      <c r="C19" s="78"/>
    </row>
    <row r="20" spans="2:3" x14ac:dyDescent="0.25">
      <c r="B20" s="79"/>
      <c r="C20" s="78"/>
    </row>
    <row r="21" spans="2:3" x14ac:dyDescent="0.25">
      <c r="B21" s="79"/>
      <c r="C21" s="78"/>
    </row>
    <row r="22" spans="2:3" x14ac:dyDescent="0.25">
      <c r="B22" s="79"/>
      <c r="C22" s="78"/>
    </row>
    <row r="23" spans="2:3" x14ac:dyDescent="0.25">
      <c r="B23" s="79"/>
      <c r="C23" s="78"/>
    </row>
    <row r="24" spans="2:3" x14ac:dyDescent="0.25">
      <c r="B24" s="79"/>
      <c r="C24" s="78"/>
    </row>
    <row r="25" spans="2:3" x14ac:dyDescent="0.25">
      <c r="B25" s="79"/>
      <c r="C25" s="78"/>
    </row>
    <row r="26" spans="2:3" x14ac:dyDescent="0.25">
      <c r="B26" s="79"/>
      <c r="C26" s="78"/>
    </row>
    <row r="27" spans="2:3" x14ac:dyDescent="0.25">
      <c r="B27" s="79"/>
      <c r="C27" s="78"/>
    </row>
    <row r="28" spans="2:3" x14ac:dyDescent="0.25">
      <c r="B28" s="79"/>
      <c r="C28" s="78"/>
    </row>
    <row r="29" spans="2:3" x14ac:dyDescent="0.25">
      <c r="B29" s="79"/>
      <c r="C29" s="78"/>
    </row>
    <row r="30" spans="2:3" x14ac:dyDescent="0.25">
      <c r="B30" s="79"/>
      <c r="C30" s="78"/>
    </row>
    <row r="32" spans="2:3" x14ac:dyDescent="0.25">
      <c r="B32" s="79"/>
      <c r="C32" s="78"/>
    </row>
    <row r="34" spans="2:18" x14ac:dyDescent="0.25">
      <c r="B34" s="100"/>
      <c r="C34" s="100"/>
      <c r="D34" s="100"/>
      <c r="E34" s="100"/>
      <c r="F34" s="100"/>
      <c r="G34" s="100"/>
      <c r="H34" s="100"/>
      <c r="I34" s="100"/>
      <c r="J34" s="100"/>
      <c r="K34" s="100"/>
    </row>
    <row r="35" spans="2:18" x14ac:dyDescent="0.25">
      <c r="B35" s="96"/>
      <c r="C35" s="96"/>
      <c r="D35" s="96"/>
      <c r="E35" s="96"/>
      <c r="F35" s="96"/>
      <c r="G35" s="96"/>
      <c r="H35" s="96"/>
      <c r="I35" s="96"/>
      <c r="J35" s="96"/>
      <c r="K35" s="96"/>
    </row>
    <row r="37" spans="2:18" x14ac:dyDescent="0.25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</row>
    <row r="38" spans="2:18" x14ac:dyDescent="0.25">
      <c r="B38" s="79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</row>
    <row r="41" spans="2:18" x14ac:dyDescent="0.25">
      <c r="B41" s="100"/>
      <c r="C41" s="100"/>
      <c r="D41" s="100"/>
      <c r="E41" s="100"/>
      <c r="F41" s="100"/>
      <c r="G41" s="100"/>
      <c r="H41" s="100"/>
      <c r="I41" s="100"/>
      <c r="J41" s="100"/>
      <c r="K41" s="100"/>
    </row>
    <row r="42" spans="2:18" x14ac:dyDescent="0.25">
      <c r="B42" s="96"/>
      <c r="C42" s="96"/>
      <c r="D42" s="96"/>
      <c r="E42" s="96"/>
      <c r="F42" s="96"/>
      <c r="G42" s="96"/>
      <c r="H42" s="96"/>
      <c r="I42" s="96"/>
      <c r="J42" s="96"/>
      <c r="K42" s="96"/>
    </row>
    <row r="44" spans="2:18" x14ac:dyDescent="0.25">
      <c r="B44" s="79"/>
      <c r="C44" s="79"/>
    </row>
    <row r="45" spans="2:18" x14ac:dyDescent="0.25">
      <c r="B45" s="79"/>
      <c r="C45" s="80"/>
    </row>
  </sheetData>
  <mergeCells count="9">
    <mergeCell ref="B42:K42"/>
    <mergeCell ref="B14:C14"/>
    <mergeCell ref="B15:C15"/>
    <mergeCell ref="B16:C16"/>
    <mergeCell ref="B13:C13"/>
    <mergeCell ref="B34:K34"/>
    <mergeCell ref="B35:K35"/>
    <mergeCell ref="B37:R37"/>
    <mergeCell ref="B41:K41"/>
  </mergeCells>
  <hyperlinks>
    <hyperlink ref="A1" location="Gráficos!A1" display="Ir a gráficos" xr:uid="{75F55478-4119-4514-BF79-AC36297F0584}"/>
  </hyperlink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9A54-DE9C-47E6-9710-B7ACBF18C305}">
  <dimension ref="A1:F50"/>
  <sheetViews>
    <sheetView workbookViewId="0"/>
  </sheetViews>
  <sheetFormatPr baseColWidth="10" defaultRowHeight="15" x14ac:dyDescent="0.25"/>
  <cols>
    <col min="1" max="4" width="11.42578125" style="36"/>
    <col min="5" max="5" width="16.28515625" style="36" customWidth="1"/>
    <col min="6" max="16384" width="11.42578125" style="36"/>
  </cols>
  <sheetData>
    <row r="1" spans="1:6" x14ac:dyDescent="0.25">
      <c r="A1" s="103" t="s">
        <v>218</v>
      </c>
    </row>
    <row r="3" spans="1:6" ht="16.5" x14ac:dyDescent="0.3">
      <c r="C3" s="32" t="s">
        <v>110</v>
      </c>
      <c r="E3" s="34" t="s">
        <v>111</v>
      </c>
      <c r="F3" s="10" t="s">
        <v>112</v>
      </c>
    </row>
    <row r="4" spans="1:6" ht="16.5" x14ac:dyDescent="0.3">
      <c r="B4" s="30">
        <f>[2]DATOS_MODELOS_PIB!A2</f>
        <v>2024</v>
      </c>
      <c r="C4" s="55">
        <f>[2]DATOS_MODELOS_PIB!C2*100</f>
        <v>4.0631713772665101</v>
      </c>
    </row>
    <row r="5" spans="1:6" ht="16.5" x14ac:dyDescent="0.3">
      <c r="B5" s="30">
        <f>[2]DATOS_MODELOS_PIB!A3</f>
        <v>2025</v>
      </c>
      <c r="C5" s="55">
        <f>[2]DATOS_MODELOS_PIB!C3*100</f>
        <v>4.0365116570536896</v>
      </c>
    </row>
    <row r="6" spans="1:6" ht="16.5" x14ac:dyDescent="0.3">
      <c r="B6" s="30">
        <f>[2]DATOS_MODELOS_PIB!A4</f>
        <v>2026</v>
      </c>
      <c r="C6" s="55">
        <f>[2]DATOS_MODELOS_PIB!C4*100</f>
        <v>3.9798076357339869</v>
      </c>
    </row>
    <row r="7" spans="1:6" ht="16.5" x14ac:dyDescent="0.3">
      <c r="B7" s="30">
        <f>[2]DATOS_MODELOS_PIB!A5</f>
        <v>2027</v>
      </c>
      <c r="C7" s="55">
        <f>[2]DATOS_MODELOS_PIB!C5*100</f>
        <v>3.953209159736736</v>
      </c>
    </row>
    <row r="8" spans="1:6" ht="16.5" x14ac:dyDescent="0.3">
      <c r="B8" s="30">
        <f>[2]DATOS_MODELOS_PIB!A6</f>
        <v>2028</v>
      </c>
      <c r="C8" s="55">
        <f>[2]DATOS_MODELOS_PIB!C6*100</f>
        <v>3.9380491591904758</v>
      </c>
    </row>
    <row r="9" spans="1:6" ht="16.5" x14ac:dyDescent="0.3">
      <c r="B9" s="30">
        <f>[2]DATOS_MODELOS_PIB!A7</f>
        <v>2029</v>
      </c>
      <c r="C9" s="55">
        <f>[2]DATOS_MODELOS_PIB!C7*100</f>
        <v>3.9204402783694525</v>
      </c>
    </row>
    <row r="10" spans="1:6" ht="16.5" x14ac:dyDescent="0.3">
      <c r="B10" s="30">
        <f>[2]DATOS_MODELOS_PIB!A8</f>
        <v>2030</v>
      </c>
      <c r="C10" s="55">
        <f>[2]DATOS_MODELOS_PIB!C8*100</f>
        <v>3.8988162501084047</v>
      </c>
    </row>
    <row r="11" spans="1:6" ht="16.5" x14ac:dyDescent="0.3">
      <c r="B11" s="30">
        <f>[2]DATOS_MODELOS_PIB!A9</f>
        <v>2031</v>
      </c>
      <c r="C11" s="55">
        <f>[2]DATOS_MODELOS_PIB!C9*100</f>
        <v>3.869360779728416</v>
      </c>
    </row>
    <row r="12" spans="1:6" ht="16.5" x14ac:dyDescent="0.3">
      <c r="B12" s="30">
        <f>[2]DATOS_MODELOS_PIB!A10</f>
        <v>2032</v>
      </c>
      <c r="C12" s="55">
        <f>[2]DATOS_MODELOS_PIB!C10*100</f>
        <v>3.8270409720638701</v>
      </c>
    </row>
    <row r="13" spans="1:6" ht="16.5" x14ac:dyDescent="0.3">
      <c r="B13" s="30">
        <f>[2]DATOS_MODELOS_PIB!A11</f>
        <v>2033</v>
      </c>
      <c r="C13" s="55">
        <f>[2]DATOS_MODELOS_PIB!C11*100</f>
        <v>3.7753420016038084</v>
      </c>
    </row>
    <row r="14" spans="1:6" ht="16.5" x14ac:dyDescent="0.3">
      <c r="B14" s="30">
        <f>[2]DATOS_MODELOS_PIB!A12</f>
        <v>2034</v>
      </c>
      <c r="C14" s="55">
        <f>[2]DATOS_MODELOS_PIB!C12*100</f>
        <v>3.7204850242906589</v>
      </c>
    </row>
    <row r="15" spans="1:6" ht="16.5" x14ac:dyDescent="0.3">
      <c r="B15" s="30">
        <f>[2]DATOS_MODELOS_PIB!A13</f>
        <v>2035</v>
      </c>
      <c r="C15" s="55">
        <f>[2]DATOS_MODELOS_PIB!C13*100</f>
        <v>3.6669804095370915</v>
      </c>
    </row>
    <row r="16" spans="1:6" ht="16.5" x14ac:dyDescent="0.3">
      <c r="B16" s="30">
        <f>[2]DATOS_MODELOS_PIB!A14</f>
        <v>2036</v>
      </c>
      <c r="C16" s="55">
        <f>[2]DATOS_MODELOS_PIB!C14*100</f>
        <v>3.6154851444705094</v>
      </c>
    </row>
    <row r="17" spans="2:5" ht="16.5" x14ac:dyDescent="0.3">
      <c r="B17" s="30">
        <f>[2]DATOS_MODELOS_PIB!A15</f>
        <v>2037</v>
      </c>
      <c r="C17" s="55">
        <f>[2]DATOS_MODELOS_PIB!C15*100</f>
        <v>3.567627187762946</v>
      </c>
    </row>
    <row r="18" spans="2:5" ht="16.5" x14ac:dyDescent="0.3">
      <c r="B18" s="30">
        <f>[2]DATOS_MODELOS_PIB!A16</f>
        <v>2038</v>
      </c>
      <c r="C18" s="55">
        <f>[2]DATOS_MODELOS_PIB!C16*100</f>
        <v>3.5258243352973673</v>
      </c>
    </row>
    <row r="19" spans="2:5" ht="16.5" x14ac:dyDescent="0.3">
      <c r="B19" s="30">
        <f>[2]DATOS_MODELOS_PIB!A17</f>
        <v>2039</v>
      </c>
      <c r="C19" s="55">
        <f>[2]DATOS_MODELOS_PIB!C17*100</f>
        <v>3.4893196000230193</v>
      </c>
    </row>
    <row r="20" spans="2:5" ht="16.5" x14ac:dyDescent="0.3">
      <c r="B20" s="30">
        <f>[2]DATOS_MODELOS_PIB!A18</f>
        <v>2040</v>
      </c>
      <c r="C20" s="55">
        <f>[2]DATOS_MODELOS_PIB!C18*100</f>
        <v>3.4587619358500499</v>
      </c>
    </row>
    <row r="21" spans="2:5" ht="16.5" x14ac:dyDescent="0.3">
      <c r="B21" s="30">
        <f>[2]DATOS_MODELOS_PIB!A19</f>
        <v>2041</v>
      </c>
      <c r="C21" s="55">
        <f>[2]DATOS_MODELOS_PIB!C19*100</f>
        <v>3.4339733128728658</v>
      </c>
    </row>
    <row r="22" spans="2:5" ht="16.5" x14ac:dyDescent="0.3">
      <c r="B22" s="30">
        <f>[2]DATOS_MODELOS_PIB!A20</f>
        <v>2042</v>
      </c>
      <c r="C22" s="55">
        <f>[2]DATOS_MODELOS_PIB!C20*100</f>
        <v>3.4164446198088103</v>
      </c>
    </row>
    <row r="23" spans="2:5" ht="16.5" x14ac:dyDescent="0.3">
      <c r="B23" s="30">
        <f>[2]DATOS_MODELOS_PIB!A21</f>
        <v>2043</v>
      </c>
      <c r="C23" s="55">
        <f>[2]DATOS_MODELOS_PIB!C21*100</f>
        <v>3.4061514277384597</v>
      </c>
    </row>
    <row r="24" spans="2:5" ht="16.5" x14ac:dyDescent="0.3">
      <c r="B24" s="30">
        <f>[2]DATOS_MODELOS_PIB!A22</f>
        <v>2044</v>
      </c>
      <c r="C24" s="55">
        <f>[2]DATOS_MODELOS_PIB!C22*100</f>
        <v>3.4002990557258581</v>
      </c>
    </row>
    <row r="25" spans="2:5" ht="16.5" x14ac:dyDescent="0.3">
      <c r="B25" s="30">
        <f>[2]DATOS_MODELOS_PIB!A23</f>
        <v>2045</v>
      </c>
      <c r="C25" s="55">
        <f>[2]DATOS_MODELOS_PIB!C23*100</f>
        <v>3.4005197067793231</v>
      </c>
    </row>
    <row r="26" spans="2:5" ht="16.5" x14ac:dyDescent="0.3">
      <c r="B26" s="30">
        <f>[2]DATOS_MODELOS_PIB!A24</f>
        <v>2046</v>
      </c>
      <c r="C26" s="55">
        <f>[2]DATOS_MODELOS_PIB!C24*100</f>
        <v>3.4053097521287468</v>
      </c>
    </row>
    <row r="27" spans="2:5" ht="16.5" x14ac:dyDescent="0.3">
      <c r="B27" s="30">
        <f>[2]DATOS_MODELOS_PIB!A25</f>
        <v>2047</v>
      </c>
      <c r="C27" s="55">
        <f>[2]DATOS_MODELOS_PIB!C25*100</f>
        <v>3.4144637253599388</v>
      </c>
    </row>
    <row r="28" spans="2:5" ht="16.5" x14ac:dyDescent="0.3">
      <c r="B28" s="30">
        <f>[2]DATOS_MODELOS_PIB!A26</f>
        <v>2048</v>
      </c>
      <c r="C28" s="55">
        <f>[2]DATOS_MODELOS_PIB!C26*100</f>
        <v>3.4271440769306918</v>
      </c>
      <c r="E28" s="36" t="s">
        <v>113</v>
      </c>
    </row>
    <row r="29" spans="2:5" ht="16.5" x14ac:dyDescent="0.3">
      <c r="B29" s="30">
        <f>[2]DATOS_MODELOS_PIB!A27</f>
        <v>2049</v>
      </c>
      <c r="C29" s="55">
        <f>[2]DATOS_MODELOS_PIB!C27*100</f>
        <v>3.44183327317482</v>
      </c>
    </row>
    <row r="30" spans="2:5" ht="16.5" x14ac:dyDescent="0.3">
      <c r="B30" s="30">
        <f>[2]DATOS_MODELOS_PIB!A28</f>
        <v>2050</v>
      </c>
      <c r="C30" s="55">
        <f>[2]DATOS_MODELOS_PIB!C28*100</f>
        <v>3.45838972727487</v>
      </c>
    </row>
    <row r="31" spans="2:5" ht="16.5" x14ac:dyDescent="0.3">
      <c r="B31" s="30">
        <f>[2]DATOS_MODELOS_PIB!A29</f>
        <v>2051</v>
      </c>
      <c r="C31" s="55">
        <f>[2]DATOS_MODELOS_PIB!C29*100</f>
        <v>3.4748506744854706</v>
      </c>
    </row>
    <row r="32" spans="2:5" ht="16.5" x14ac:dyDescent="0.3">
      <c r="B32" s="30">
        <f>[2]DATOS_MODELOS_PIB!A30</f>
        <v>2052</v>
      </c>
      <c r="C32" s="55">
        <f>[2]DATOS_MODELOS_PIB!C30*100</f>
        <v>3.4916425891652372</v>
      </c>
    </row>
    <row r="33" spans="2:3" ht="16.5" x14ac:dyDescent="0.3">
      <c r="B33" s="30">
        <f>[2]DATOS_MODELOS_PIB!A31</f>
        <v>2053</v>
      </c>
      <c r="C33" s="55">
        <f>[2]DATOS_MODELOS_PIB!C31*100</f>
        <v>3.5082027321941038</v>
      </c>
    </row>
    <row r="34" spans="2:3" ht="16.5" x14ac:dyDescent="0.3">
      <c r="B34" s="30">
        <f>[2]DATOS_MODELOS_PIB!A32</f>
        <v>2054</v>
      </c>
      <c r="C34" s="55">
        <f>[2]DATOS_MODELOS_PIB!C32*100</f>
        <v>3.5241608047731083</v>
      </c>
    </row>
    <row r="35" spans="2:3" ht="16.5" x14ac:dyDescent="0.3">
      <c r="B35" s="30">
        <f>[2]DATOS_MODELOS_PIB!A33</f>
        <v>2055</v>
      </c>
      <c r="C35" s="55">
        <f>[2]DATOS_MODELOS_PIB!C33*100</f>
        <v>3.5400147730618357</v>
      </c>
    </row>
    <row r="36" spans="2:3" ht="16.5" x14ac:dyDescent="0.3">
      <c r="B36" s="30">
        <f>[2]DATOS_MODELOS_PIB!A34</f>
        <v>2056</v>
      </c>
      <c r="C36" s="55">
        <f>[2]DATOS_MODELOS_PIB!C34*100</f>
        <v>3.5541034224074308</v>
      </c>
    </row>
    <row r="37" spans="2:3" ht="16.5" x14ac:dyDescent="0.3">
      <c r="B37" s="30">
        <f>[2]DATOS_MODELOS_PIB!A35</f>
        <v>2057</v>
      </c>
      <c r="C37" s="55">
        <f>[2]DATOS_MODELOS_PIB!C35*100</f>
        <v>3.5677954723579979</v>
      </c>
    </row>
    <row r="38" spans="2:3" ht="16.5" x14ac:dyDescent="0.3">
      <c r="B38" s="30">
        <f>[2]DATOS_MODELOS_PIB!A36</f>
        <v>2058</v>
      </c>
      <c r="C38" s="55">
        <f>[2]DATOS_MODELOS_PIB!C36*100</f>
        <v>3.5786694203809444</v>
      </c>
    </row>
    <row r="39" spans="2:3" ht="16.5" x14ac:dyDescent="0.3">
      <c r="B39" s="30">
        <f>[2]DATOS_MODELOS_PIB!A37</f>
        <v>2059</v>
      </c>
      <c r="C39" s="55">
        <f>[2]DATOS_MODELOS_PIB!C37*100</f>
        <v>3.5879336708781335</v>
      </c>
    </row>
    <row r="40" spans="2:3" ht="16.5" x14ac:dyDescent="0.3">
      <c r="B40" s="30">
        <f>[2]DATOS_MODELOS_PIB!A38</f>
        <v>2060</v>
      </c>
      <c r="C40" s="55">
        <f>[2]DATOS_MODELOS_PIB!C38*100</f>
        <v>3.5958379035219714</v>
      </c>
    </row>
    <row r="41" spans="2:3" ht="16.5" x14ac:dyDescent="0.3">
      <c r="B41" s="30">
        <f>[2]DATOS_MODELOS_PIB!A39</f>
        <v>2061</v>
      </c>
      <c r="C41" s="55">
        <f>[2]DATOS_MODELOS_PIB!C39*100</f>
        <v>3.6010958313785757</v>
      </c>
    </row>
    <row r="42" spans="2:3" ht="16.5" x14ac:dyDescent="0.3">
      <c r="B42" s="30">
        <f>[2]DATOS_MODELOS_PIB!A40</f>
        <v>2062</v>
      </c>
      <c r="C42" s="55">
        <f>[2]DATOS_MODELOS_PIB!C40*100</f>
        <v>3.6059687078387297</v>
      </c>
    </row>
    <row r="43" spans="2:3" ht="16.5" x14ac:dyDescent="0.3">
      <c r="B43" s="30">
        <f>[2]DATOS_MODELOS_PIB!A41</f>
        <v>2063</v>
      </c>
      <c r="C43" s="55">
        <f>[2]DATOS_MODELOS_PIB!C41*100</f>
        <v>3.6094714428898778</v>
      </c>
    </row>
    <row r="44" spans="2:3" ht="16.5" x14ac:dyDescent="0.3">
      <c r="B44" s="30">
        <f>[2]DATOS_MODELOS_PIB!A42</f>
        <v>2064</v>
      </c>
      <c r="C44" s="55">
        <f>[2]DATOS_MODELOS_PIB!C42*100</f>
        <v>3.6121824772421909</v>
      </c>
    </row>
    <row r="45" spans="2:3" ht="16.5" x14ac:dyDescent="0.3">
      <c r="B45" s="30">
        <f>[2]DATOS_MODELOS_PIB!A43</f>
        <v>2065</v>
      </c>
      <c r="C45" s="55">
        <f>[2]DATOS_MODELOS_PIB!C43*100</f>
        <v>3.6148768183643694</v>
      </c>
    </row>
    <row r="46" spans="2:3" ht="16.5" x14ac:dyDescent="0.3">
      <c r="B46" s="30">
        <f>[2]DATOS_MODELOS_PIB!A44</f>
        <v>2066</v>
      </c>
      <c r="C46" s="55">
        <f>[2]DATOS_MODELOS_PIB!C44*100</f>
        <v>3.6168498099613067</v>
      </c>
    </row>
    <row r="47" spans="2:3" ht="16.5" x14ac:dyDescent="0.3">
      <c r="B47" s="30">
        <f>[2]DATOS_MODELOS_PIB!A45</f>
        <v>2067</v>
      </c>
      <c r="C47" s="55">
        <f>[2]DATOS_MODELOS_PIB!C45*100</f>
        <v>3.6196688987830439</v>
      </c>
    </row>
    <row r="48" spans="2:3" ht="16.5" x14ac:dyDescent="0.3">
      <c r="B48" s="30">
        <f>[2]DATOS_MODELOS_PIB!A46</f>
        <v>2068</v>
      </c>
      <c r="C48" s="55">
        <f>[2]DATOS_MODELOS_PIB!C46*100</f>
        <v>3.6216712380638403</v>
      </c>
    </row>
    <row r="49" spans="2:3" ht="16.5" x14ac:dyDescent="0.3">
      <c r="B49" s="30">
        <f>[2]DATOS_MODELOS_PIB!A47</f>
        <v>2069</v>
      </c>
      <c r="C49" s="55">
        <f>[2]DATOS_MODELOS_PIB!C47*100</f>
        <v>3.6245303062975811</v>
      </c>
    </row>
    <row r="50" spans="2:3" ht="16.5" x14ac:dyDescent="0.3">
      <c r="B50" s="30">
        <f>[2]DATOS_MODELOS_PIB!A48</f>
        <v>2070</v>
      </c>
      <c r="C50" s="55">
        <f>[2]DATOS_MODELOS_PIB!C48*100</f>
        <v>3.6278036763896369</v>
      </c>
    </row>
  </sheetData>
  <hyperlinks>
    <hyperlink ref="A1" location="Gráficos!A1" display="Ir a gráficos" xr:uid="{D291F2CA-F60E-4970-8CB8-BF2BE1F26618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7E48-AE9B-46D3-BE1E-830CE8AD31B1}">
  <dimension ref="A1:CA30"/>
  <sheetViews>
    <sheetView showGridLines="0" zoomScale="77" zoomScaleNormal="77" workbookViewId="0"/>
  </sheetViews>
  <sheetFormatPr baseColWidth="10" defaultColWidth="9.140625" defaultRowHeight="15" x14ac:dyDescent="0.25"/>
  <cols>
    <col min="1" max="1" width="9.140625" style="36"/>
    <col min="2" max="2" width="23.85546875" customWidth="1"/>
    <col min="3" max="3" width="21.28515625" customWidth="1"/>
    <col min="23" max="23" width="9.7109375" bestFit="1" customWidth="1"/>
    <col min="27" max="27" width="13.28515625" bestFit="1" customWidth="1"/>
    <col min="28" max="29" width="9.28515625" bestFit="1" customWidth="1"/>
    <col min="30" max="59" width="9.85546875" bestFit="1" customWidth="1"/>
    <col min="107" max="109" width="9.42578125" bestFit="1" customWidth="1"/>
  </cols>
  <sheetData>
    <row r="1" spans="1:79" s="36" customFormat="1" x14ac:dyDescent="0.25">
      <c r="A1" s="103" t="s">
        <v>218</v>
      </c>
    </row>
    <row r="2" spans="1:79" s="36" customFormat="1" ht="16.5" x14ac:dyDescent="0.3">
      <c r="B2" s="34" t="s">
        <v>114</v>
      </c>
      <c r="C2" s="34" t="s">
        <v>25</v>
      </c>
      <c r="AC2" s="36">
        <v>-1</v>
      </c>
      <c r="BG2" s="49">
        <v>-0.52141790845911684</v>
      </c>
      <c r="CA2" s="49">
        <v>0.16941394911476682</v>
      </c>
    </row>
    <row r="3" spans="1:79" s="36" customFormat="1" x14ac:dyDescent="0.25"/>
    <row r="4" spans="1:79" x14ac:dyDescent="0.25">
      <c r="C4" s="32"/>
      <c r="D4" s="32">
        <v>1995</v>
      </c>
      <c r="E4" s="32">
        <v>1996</v>
      </c>
      <c r="F4" s="32">
        <v>1997</v>
      </c>
      <c r="G4" s="32">
        <v>1998</v>
      </c>
      <c r="H4" s="32">
        <v>1999</v>
      </c>
      <c r="I4" s="32">
        <v>2000</v>
      </c>
      <c r="J4" s="32">
        <v>2001</v>
      </c>
      <c r="K4" s="32">
        <v>2002</v>
      </c>
      <c r="L4" s="32">
        <v>2003</v>
      </c>
      <c r="M4" s="32">
        <v>2004</v>
      </c>
      <c r="N4" s="32">
        <v>2005</v>
      </c>
      <c r="O4" s="32">
        <v>2006</v>
      </c>
      <c r="P4" s="32">
        <v>2007</v>
      </c>
      <c r="Q4" s="32">
        <v>2008</v>
      </c>
      <c r="R4" s="32">
        <v>2009</v>
      </c>
      <c r="S4" s="32">
        <v>2010</v>
      </c>
      <c r="T4" s="32">
        <v>2011</v>
      </c>
      <c r="U4" s="32">
        <v>2012</v>
      </c>
      <c r="V4" s="32">
        <v>2013</v>
      </c>
      <c r="W4" s="32">
        <v>2014</v>
      </c>
      <c r="X4" s="32">
        <v>2015</v>
      </c>
      <c r="Y4" s="32">
        <v>2016</v>
      </c>
      <c r="Z4" s="32">
        <v>2017</v>
      </c>
      <c r="AA4" s="32">
        <v>2018</v>
      </c>
      <c r="AB4" s="32">
        <v>2019</v>
      </c>
      <c r="AC4" s="32">
        <v>2020</v>
      </c>
      <c r="AD4" s="32">
        <v>2021</v>
      </c>
      <c r="AE4" s="32">
        <v>2022</v>
      </c>
      <c r="AF4" s="32">
        <v>2023</v>
      </c>
      <c r="AG4" s="32">
        <v>2024</v>
      </c>
      <c r="AH4" s="32">
        <v>2025</v>
      </c>
      <c r="AI4" s="32">
        <v>2026</v>
      </c>
      <c r="AJ4" s="32">
        <v>2027</v>
      </c>
      <c r="AK4" s="32">
        <v>2028</v>
      </c>
      <c r="AL4" s="32">
        <v>2029</v>
      </c>
      <c r="AM4" s="32">
        <v>2030</v>
      </c>
      <c r="AN4" s="32">
        <v>2031</v>
      </c>
      <c r="AO4" s="32">
        <v>2032</v>
      </c>
      <c r="AP4" s="32">
        <v>2033</v>
      </c>
      <c r="AQ4" s="32">
        <v>2034</v>
      </c>
      <c r="AR4" s="32">
        <v>2035</v>
      </c>
      <c r="AS4" s="32">
        <v>2036</v>
      </c>
      <c r="AT4" s="32">
        <v>2037</v>
      </c>
      <c r="AU4" s="32">
        <v>2038</v>
      </c>
      <c r="AV4" s="32">
        <v>2039</v>
      </c>
      <c r="AW4" s="32">
        <v>2040</v>
      </c>
      <c r="AX4" s="32">
        <v>2041</v>
      </c>
      <c r="AY4" s="32">
        <v>2042</v>
      </c>
      <c r="AZ4" s="32">
        <v>2043</v>
      </c>
      <c r="BA4" s="32">
        <v>2044</v>
      </c>
      <c r="BB4" s="32">
        <v>2045</v>
      </c>
      <c r="BC4" s="32">
        <v>2046</v>
      </c>
      <c r="BD4" s="32">
        <v>2047</v>
      </c>
      <c r="BE4" s="32">
        <v>2048</v>
      </c>
      <c r="BF4" s="32">
        <v>2049</v>
      </c>
      <c r="BG4" s="32">
        <v>2050</v>
      </c>
      <c r="BH4" s="32">
        <v>2051</v>
      </c>
      <c r="BI4" s="32">
        <v>2052</v>
      </c>
      <c r="BJ4" s="32">
        <v>2053</v>
      </c>
      <c r="BK4" s="32">
        <v>2054</v>
      </c>
      <c r="BL4" s="32">
        <v>2055</v>
      </c>
      <c r="BM4" s="32">
        <v>2056</v>
      </c>
      <c r="BN4" s="32">
        <v>2057</v>
      </c>
      <c r="BO4" s="32">
        <v>2058</v>
      </c>
      <c r="BP4" s="32">
        <v>2059</v>
      </c>
      <c r="BQ4" s="32">
        <v>2060</v>
      </c>
      <c r="BR4" s="32">
        <v>2061</v>
      </c>
      <c r="BS4" s="32">
        <v>2062</v>
      </c>
      <c r="BT4" s="32">
        <v>2063</v>
      </c>
      <c r="BU4" s="32">
        <v>2064</v>
      </c>
      <c r="BV4" s="32">
        <v>2065</v>
      </c>
      <c r="BW4" s="32">
        <v>2066</v>
      </c>
      <c r="BX4" s="32">
        <v>2067</v>
      </c>
      <c r="BY4" s="32">
        <v>2068</v>
      </c>
      <c r="BZ4" s="32">
        <v>2069</v>
      </c>
      <c r="CA4" s="32">
        <v>2070</v>
      </c>
    </row>
    <row r="5" spans="1:79" s="37" customFormat="1" x14ac:dyDescent="0.25">
      <c r="A5" s="42"/>
      <c r="B5" s="47" t="s">
        <v>24</v>
      </c>
      <c r="C5" s="46" t="s">
        <v>22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38">
        <v>-0.64412265319345086</v>
      </c>
      <c r="Z5" s="38">
        <v>-0.36998263421425504</v>
      </c>
      <c r="AA5" s="38">
        <v>8.305450994332543E-2</v>
      </c>
      <c r="AB5" s="38">
        <v>0.48966321923877654</v>
      </c>
      <c r="AC5" s="38">
        <v>-0.32983553216269507</v>
      </c>
      <c r="AD5" s="38">
        <v>-0.3037874528596991</v>
      </c>
      <c r="AE5" s="38">
        <v>0.47875324741644298</v>
      </c>
      <c r="AF5" s="38">
        <v>1.3731141339441613</v>
      </c>
      <c r="AG5" s="38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</row>
    <row r="6" spans="1:79" s="37" customFormat="1" x14ac:dyDescent="0.25">
      <c r="A6" s="42"/>
      <c r="C6" s="46" t="s">
        <v>21</v>
      </c>
      <c r="D6" s="44"/>
      <c r="E6" s="44"/>
      <c r="F6" s="44"/>
      <c r="G6" s="44"/>
      <c r="H6" s="44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38">
        <v>3.0455339902443219</v>
      </c>
      <c r="Z6" s="38">
        <v>3.2316272487075968</v>
      </c>
      <c r="AA6" s="38">
        <v>3.3013333855911964</v>
      </c>
      <c r="AB6" s="38">
        <v>4.9548726202891071</v>
      </c>
      <c r="AC6" s="38">
        <v>5.0734302325079357</v>
      </c>
      <c r="AD6" s="38">
        <v>6.4800590579825812</v>
      </c>
      <c r="AE6" s="38">
        <v>3.7293441471860911</v>
      </c>
      <c r="AF6" s="38">
        <v>4.8970494273783691</v>
      </c>
      <c r="AG6" s="38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</row>
    <row r="7" spans="1:79" s="37" customFormat="1" x14ac:dyDescent="0.25">
      <c r="A7" s="42"/>
      <c r="C7" s="46" t="s">
        <v>20</v>
      </c>
      <c r="D7" s="44"/>
      <c r="E7" s="44"/>
      <c r="F7" s="44"/>
      <c r="G7" s="44"/>
      <c r="H7" s="44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38">
        <v>2.4014113370508712</v>
      </c>
      <c r="Z7" s="38">
        <v>2.8616446144933416</v>
      </c>
      <c r="AA7" s="38">
        <v>3.3843878955345224</v>
      </c>
      <c r="AB7" s="38">
        <v>5.4445358395278829</v>
      </c>
      <c r="AC7" s="38">
        <v>4.7435947003452412</v>
      </c>
      <c r="AD7" s="38">
        <v>6.1762716051228814</v>
      </c>
      <c r="AE7" s="38">
        <v>4.2080973946025333</v>
      </c>
      <c r="AF7" s="38">
        <v>6.1569957184953044</v>
      </c>
      <c r="AG7" s="38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</row>
    <row r="8" spans="1:79" s="37" customFormat="1" x14ac:dyDescent="0.25">
      <c r="A8" s="42"/>
      <c r="C8" s="46" t="s">
        <v>22</v>
      </c>
      <c r="D8" s="44"/>
      <c r="E8" s="44"/>
      <c r="F8" s="44"/>
      <c r="G8" s="44"/>
      <c r="H8" s="44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3"/>
      <c r="Z8" s="43"/>
      <c r="AA8" s="43"/>
      <c r="AB8" s="43"/>
      <c r="AC8" s="43"/>
      <c r="AD8" s="43"/>
      <c r="AE8" s="43"/>
      <c r="AF8" s="38"/>
      <c r="AG8" s="38">
        <v>0.95481668620379956</v>
      </c>
      <c r="AH8" s="38">
        <v>0.961133225424463</v>
      </c>
      <c r="AI8" s="38">
        <v>3.5397202137602501E-2</v>
      </c>
      <c r="AJ8" s="38">
        <v>-0.34249515512070811</v>
      </c>
      <c r="AK8" s="38">
        <v>-0.48111189349168021</v>
      </c>
      <c r="AL8" s="38">
        <v>-0.6770581675190549</v>
      </c>
      <c r="AM8" s="38">
        <v>-0.55393853505597401</v>
      </c>
      <c r="AN8" s="38">
        <v>-0.80483886851560271</v>
      </c>
      <c r="AO8" s="38">
        <v>-0.57945829074788058</v>
      </c>
      <c r="AP8" s="38">
        <v>-0.4597326558343699</v>
      </c>
      <c r="AQ8" s="38">
        <v>-0.42410857779069461</v>
      </c>
      <c r="AR8" s="38">
        <v>-0.2741975979613735</v>
      </c>
      <c r="AS8" s="38">
        <v>-0.17601953951370555</v>
      </c>
      <c r="AT8" s="38">
        <v>3.1041291843659502E-2</v>
      </c>
      <c r="AU8" s="38">
        <v>0.11931048850061581</v>
      </c>
      <c r="AV8" s="38">
        <v>0.25279002743029894</v>
      </c>
      <c r="AW8" s="38">
        <v>0.45452935958573315</v>
      </c>
      <c r="AX8" s="38">
        <v>0.57290931824461322</v>
      </c>
      <c r="AY8" s="38">
        <v>0.74842807729072924</v>
      </c>
      <c r="AZ8" s="38">
        <v>0.92845475365717334</v>
      </c>
      <c r="BA8" s="38">
        <v>0.97309176152925325</v>
      </c>
      <c r="BB8" s="38">
        <v>1.1140894380111919</v>
      </c>
      <c r="BC8" s="38">
        <v>1.1027807719487905</v>
      </c>
      <c r="BD8" s="38">
        <v>1.1823502764579963</v>
      </c>
      <c r="BE8" s="38">
        <v>1.1946225934952701</v>
      </c>
      <c r="BF8" s="38">
        <v>1.2177205297974358</v>
      </c>
      <c r="BG8" s="38">
        <v>1.222356103263464</v>
      </c>
      <c r="BH8" s="38">
        <v>1.1665908041934194</v>
      </c>
      <c r="BI8" s="38">
        <v>1.1876363725356271</v>
      </c>
      <c r="BJ8" s="38">
        <v>1.1166599955895371</v>
      </c>
      <c r="BK8" s="38">
        <v>1.1338171877239065</v>
      </c>
      <c r="BL8" s="38">
        <v>1.0680782078603892</v>
      </c>
      <c r="BM8" s="38">
        <v>1.0061992916398221</v>
      </c>
      <c r="BN8" s="38">
        <v>0.99475146151113547</v>
      </c>
      <c r="BO8" s="38">
        <v>0.8809011187810577</v>
      </c>
      <c r="BP8" s="38">
        <v>0.83699489929798099</v>
      </c>
      <c r="BQ8" s="38">
        <v>0.80947681689154283</v>
      </c>
      <c r="BR8" s="38">
        <v>0.71761027315366055</v>
      </c>
      <c r="BS8" s="38">
        <v>0.76446138189571688</v>
      </c>
      <c r="BT8" s="38">
        <v>0.67255450202532074</v>
      </c>
      <c r="BU8" s="38">
        <v>0.71725465676717548</v>
      </c>
      <c r="BV8" s="38">
        <v>0.68993911236530814</v>
      </c>
      <c r="BW8" s="38">
        <v>0.71215435349651368</v>
      </c>
      <c r="BX8" s="38">
        <v>0.72887168031642302</v>
      </c>
      <c r="BY8" s="38">
        <v>0.71180884189745697</v>
      </c>
      <c r="BZ8" s="38">
        <v>0.78319953927617503</v>
      </c>
      <c r="CA8" s="38">
        <v>0.78119944337669267</v>
      </c>
    </row>
    <row r="9" spans="1:79" s="37" customFormat="1" x14ac:dyDescent="0.25">
      <c r="A9" s="42"/>
      <c r="C9" s="46" t="s">
        <v>21</v>
      </c>
      <c r="D9" s="44"/>
      <c r="E9" s="44"/>
      <c r="F9" s="44"/>
      <c r="G9" s="44"/>
      <c r="H9" s="44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4"/>
      <c r="X9" s="44"/>
      <c r="Y9" s="43"/>
      <c r="Z9" s="43"/>
      <c r="AA9" s="43"/>
      <c r="AB9" s="43"/>
      <c r="AC9" s="43"/>
      <c r="AD9" s="43"/>
      <c r="AE9" s="43"/>
      <c r="AF9" s="38"/>
      <c r="AG9" s="38">
        <v>4.5603583032143833</v>
      </c>
      <c r="AH9" s="38">
        <v>3.1222148693767791</v>
      </c>
      <c r="AI9" s="38">
        <v>2.6146656673318471</v>
      </c>
      <c r="AJ9" s="38">
        <v>3.5468857305360801</v>
      </c>
      <c r="AK9" s="38">
        <v>3.8118223040216268</v>
      </c>
      <c r="AL9" s="38">
        <v>3.9058411423638675</v>
      </c>
      <c r="AM9" s="38">
        <v>3.498786175329692</v>
      </c>
      <c r="AN9" s="38">
        <v>3.3512272978282098</v>
      </c>
      <c r="AO9" s="38">
        <v>2.6998824501311298</v>
      </c>
      <c r="AP9" s="38">
        <v>2.1785760960790141</v>
      </c>
      <c r="AQ9" s="38">
        <v>2.0270268002008156</v>
      </c>
      <c r="AR9" s="38">
        <v>1.8894618058418915</v>
      </c>
      <c r="AS9" s="38">
        <v>1.8352461789734709</v>
      </c>
      <c r="AT9" s="38">
        <v>1.722636835585333</v>
      </c>
      <c r="AU9" s="38">
        <v>1.7630964740389021</v>
      </c>
      <c r="AV9" s="38">
        <v>1.7592089942022171</v>
      </c>
      <c r="AW9" s="38">
        <v>1.7681212837372098</v>
      </c>
      <c r="AX9" s="38">
        <v>1.8240735094999292</v>
      </c>
      <c r="AY9" s="38">
        <v>1.849615408210882</v>
      </c>
      <c r="AZ9" s="38">
        <v>1.9072961184908286</v>
      </c>
      <c r="BA9" s="38">
        <v>1.9979639756023582</v>
      </c>
      <c r="BB9" s="38">
        <v>2.0591912672081696</v>
      </c>
      <c r="BC9" s="38">
        <v>2.2322686983747571</v>
      </c>
      <c r="BD9" s="38">
        <v>2.3082688597167702</v>
      </c>
      <c r="BE9" s="38">
        <v>2.4315713322298045</v>
      </c>
      <c r="BF9" s="38">
        <v>2.4839012878493367</v>
      </c>
      <c r="BG9" s="38">
        <v>2.5658120255534849</v>
      </c>
      <c r="BH9" s="38">
        <v>2.6402740059173686</v>
      </c>
      <c r="BI9" s="38">
        <v>2.6641324973905038</v>
      </c>
      <c r="BJ9" s="38">
        <v>2.7384950180783734</v>
      </c>
      <c r="BK9" s="38">
        <v>2.7336451489976215</v>
      </c>
      <c r="BL9" s="38">
        <v>2.793335074379844</v>
      </c>
      <c r="BM9" s="38">
        <v>2.8082812357876108</v>
      </c>
      <c r="BN9" s="38">
        <v>2.7997210680976918</v>
      </c>
      <c r="BO9" s="38">
        <v>2.8278663020094794</v>
      </c>
      <c r="BP9" s="38">
        <v>2.8021578395613935</v>
      </c>
      <c r="BQ9" s="38">
        <v>2.7743131827178118</v>
      </c>
      <c r="BR9" s="38">
        <v>2.764007020407385</v>
      </c>
      <c r="BS9" s="38">
        <v>2.6849096259739</v>
      </c>
      <c r="BT9" s="38">
        <v>2.706006835525713</v>
      </c>
      <c r="BU9" s="38">
        <v>2.6114973491109237</v>
      </c>
      <c r="BV9" s="38">
        <v>2.6036584072943443</v>
      </c>
      <c r="BW9" s="38">
        <v>2.5209908701145314</v>
      </c>
      <c r="BX9" s="38">
        <v>2.4870113398418718</v>
      </c>
      <c r="BY9" s="38">
        <v>2.4481942941154666</v>
      </c>
      <c r="BZ9" s="38">
        <v>2.3603968685495356</v>
      </c>
      <c r="CA9" s="38">
        <v>2.3272591888107792</v>
      </c>
    </row>
    <row r="10" spans="1:79" s="37" customFormat="1" ht="15.75" thickBot="1" x14ac:dyDescent="0.3">
      <c r="A10" s="42"/>
      <c r="C10" s="41" t="s">
        <v>20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39"/>
      <c r="Z10" s="39"/>
      <c r="AA10" s="39"/>
      <c r="AB10" s="39"/>
      <c r="AC10" s="39"/>
      <c r="AD10" s="39"/>
      <c r="AE10" s="39"/>
      <c r="AF10" s="39"/>
      <c r="AG10" s="39">
        <v>5.508152087617769</v>
      </c>
      <c r="AH10" s="38">
        <v>4.0833480948012424</v>
      </c>
      <c r="AI10" s="38">
        <v>2.6500628694694495</v>
      </c>
      <c r="AJ10" s="38">
        <v>3.2043905754153723</v>
      </c>
      <c r="AK10" s="38">
        <v>3.3307104105299468</v>
      </c>
      <c r="AL10" s="38">
        <v>3.2287829748448127</v>
      </c>
      <c r="AM10" s="38">
        <v>2.9448476402737178</v>
      </c>
      <c r="AN10" s="38">
        <v>2.5463884293126071</v>
      </c>
      <c r="AO10" s="38">
        <v>2.1204241593832496</v>
      </c>
      <c r="AP10" s="38">
        <v>1.718843440244644</v>
      </c>
      <c r="AQ10" s="38">
        <v>1.6029182224101213</v>
      </c>
      <c r="AR10" s="38">
        <v>1.6152642078805179</v>
      </c>
      <c r="AS10" s="38">
        <v>1.6592266394597655</v>
      </c>
      <c r="AT10" s="38">
        <v>1.7536781274289925</v>
      </c>
      <c r="AU10" s="38">
        <v>1.8824069625395179</v>
      </c>
      <c r="AV10" s="38">
        <v>2.0119990216325156</v>
      </c>
      <c r="AW10" s="38">
        <v>2.2226506433229432</v>
      </c>
      <c r="AX10" s="38">
        <v>2.3969828277445426</v>
      </c>
      <c r="AY10" s="38">
        <v>2.598043485501611</v>
      </c>
      <c r="AZ10" s="38">
        <v>2.8357508721480018</v>
      </c>
      <c r="BA10" s="38">
        <v>2.9710557371316115</v>
      </c>
      <c r="BB10" s="38">
        <v>3.1732807052193612</v>
      </c>
      <c r="BC10" s="38">
        <v>3.3350494703235478</v>
      </c>
      <c r="BD10" s="38">
        <v>3.4906191361747663</v>
      </c>
      <c r="BE10" s="38">
        <v>3.6261939257250742</v>
      </c>
      <c r="BF10" s="38">
        <v>3.7016218176467719</v>
      </c>
      <c r="BG10" s="38">
        <v>3.7881681288169489</v>
      </c>
      <c r="BH10" s="38">
        <v>3.8068648101107883</v>
      </c>
      <c r="BI10" s="38">
        <v>3.851768869926131</v>
      </c>
      <c r="BJ10" s="38">
        <v>3.8551550136679102</v>
      </c>
      <c r="BK10" s="38">
        <v>3.8674623367215277</v>
      </c>
      <c r="BL10" s="38">
        <v>3.8614132822402336</v>
      </c>
      <c r="BM10" s="38">
        <v>3.8144805274274329</v>
      </c>
      <c r="BN10" s="38">
        <v>3.7944725296088277</v>
      </c>
      <c r="BO10" s="38">
        <v>3.7087674207905375</v>
      </c>
      <c r="BP10" s="38">
        <v>3.6391527388593747</v>
      </c>
      <c r="BQ10" s="38">
        <v>3.5837899996093547</v>
      </c>
      <c r="BR10" s="38">
        <v>3.4816172935610457</v>
      </c>
      <c r="BS10" s="38">
        <v>3.4493710078696171</v>
      </c>
      <c r="BT10" s="38">
        <v>3.3785613375510337</v>
      </c>
      <c r="BU10" s="38">
        <v>3.3287520058780995</v>
      </c>
      <c r="BV10" s="38">
        <v>3.2935975196596523</v>
      </c>
      <c r="BW10" s="38">
        <v>3.2331452236110447</v>
      </c>
      <c r="BX10" s="38">
        <v>3.2158830201582944</v>
      </c>
      <c r="BY10" s="38">
        <v>3.1600031360129233</v>
      </c>
      <c r="BZ10" s="38">
        <v>3.1435964078257106</v>
      </c>
      <c r="CA10" s="38">
        <v>3.1084586321874719</v>
      </c>
    </row>
    <row r="12" spans="1:79" x14ac:dyDescent="0.25">
      <c r="C12" t="s">
        <v>23</v>
      </c>
    </row>
    <row r="15" spans="1:79" x14ac:dyDescent="0.25">
      <c r="AU15" s="33">
        <v>-0.74897797156730395</v>
      </c>
    </row>
    <row r="30" spans="29:29" x14ac:dyDescent="0.25">
      <c r="AC30">
        <v>14.999999999999998</v>
      </c>
    </row>
  </sheetData>
  <hyperlinks>
    <hyperlink ref="A1" location="Gráficos!A1" display="Ir a gráficos" xr:uid="{78069FDE-7498-4E5C-8B48-C8600BE00AA7}"/>
  </hyperlinks>
  <pageMargins left="0.7" right="0.7" top="0.75" bottom="0.75" header="0.3" footer="0.3"/>
  <pageSetup paperSize="9" orientation="portrait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AE14-5844-4C71-8D88-F3CF9BFF8317}">
  <dimension ref="A1:S31"/>
  <sheetViews>
    <sheetView workbookViewId="0"/>
  </sheetViews>
  <sheetFormatPr baseColWidth="10" defaultRowHeight="15" x14ac:dyDescent="0.25"/>
  <cols>
    <col min="1" max="1" width="11.42578125" style="104"/>
    <col min="2" max="2" width="60.42578125" style="104" customWidth="1"/>
    <col min="3" max="16384" width="11.42578125" style="104"/>
  </cols>
  <sheetData>
    <row r="1" spans="1:19" x14ac:dyDescent="0.25">
      <c r="A1" s="103" t="s">
        <v>218</v>
      </c>
    </row>
    <row r="3" spans="1:19" ht="16.5" x14ac:dyDescent="0.3">
      <c r="B3" s="34" t="s">
        <v>246</v>
      </c>
      <c r="C3" s="10" t="s">
        <v>247</v>
      </c>
    </row>
    <row r="5" spans="1:19" s="106" customFormat="1" x14ac:dyDescent="0.25">
      <c r="B5" s="107" t="s">
        <v>241</v>
      </c>
      <c r="C5" s="67" t="s">
        <v>240</v>
      </c>
      <c r="D5" s="67" t="s">
        <v>239</v>
      </c>
      <c r="E5" s="67" t="s">
        <v>238</v>
      </c>
      <c r="F5" s="67" t="s">
        <v>237</v>
      </c>
      <c r="G5" s="67" t="s">
        <v>236</v>
      </c>
      <c r="H5" s="67" t="s">
        <v>235</v>
      </c>
      <c r="I5" s="67" t="s">
        <v>234</v>
      </c>
      <c r="J5" s="67" t="s">
        <v>233</v>
      </c>
      <c r="K5" s="67" t="s">
        <v>232</v>
      </c>
      <c r="L5" s="67" t="s">
        <v>231</v>
      </c>
      <c r="M5" s="67" t="s">
        <v>230</v>
      </c>
      <c r="N5" s="67" t="s">
        <v>229</v>
      </c>
      <c r="O5" s="67" t="s">
        <v>228</v>
      </c>
      <c r="P5" s="67" t="s">
        <v>227</v>
      </c>
      <c r="Q5" s="67" t="s">
        <v>226</v>
      </c>
      <c r="R5" s="67" t="s">
        <v>225</v>
      </c>
      <c r="S5" s="67" t="s">
        <v>224</v>
      </c>
    </row>
    <row r="6" spans="1:19" x14ac:dyDescent="0.25">
      <c r="B6" s="63" t="s">
        <v>244</v>
      </c>
      <c r="C6" s="105">
        <f>[7]Hoja1!B202</f>
        <v>-0.51000016325317166</v>
      </c>
      <c r="D6" s="105">
        <f>[7]Hoja1!C202</f>
        <v>0.62685061629499628</v>
      </c>
      <c r="E6" s="105">
        <f>[7]Hoja1!D202</f>
        <v>-0.35540169665589522</v>
      </c>
      <c r="F6" s="105">
        <f>[7]Hoja1!E202</f>
        <v>1.1814563453449389</v>
      </c>
      <c r="G6" s="105">
        <f>[7]Hoja1!F202</f>
        <v>-0.68836129167197235</v>
      </c>
      <c r="H6" s="105">
        <f>[7]Hoja1!G202</f>
        <v>-0.15577985708678493</v>
      </c>
      <c r="I6" s="105">
        <f>[7]Hoja1!H202</f>
        <v>-0.51335345055441328</v>
      </c>
      <c r="J6" s="105">
        <f>[7]Hoja1!I202</f>
        <v>-0.23296055498060414</v>
      </c>
      <c r="K6" s="105">
        <f>[7]Hoja1!J202</f>
        <v>0.46515163279691241</v>
      </c>
      <c r="L6" s="105">
        <f>[7]Hoja1!K202</f>
        <v>0.66210420511007873</v>
      </c>
      <c r="M6" s="105">
        <f>[7]Hoja1!L202</f>
        <v>-1.3370260624334787</v>
      </c>
      <c r="N6" s="105">
        <f>[7]Hoja1!M202</f>
        <v>-0.32808154129444778</v>
      </c>
      <c r="O6" s="105">
        <f>[7]Hoja1!N202</f>
        <v>0.64814498595239711</v>
      </c>
      <c r="P6" s="105">
        <f>[7]Hoja1!O202</f>
        <v>0.24029627727074901</v>
      </c>
      <c r="Q6" s="105">
        <f>[7]Hoja1!P202</f>
        <v>1.107791658905604</v>
      </c>
      <c r="R6" s="105">
        <f>[7]Hoja1!Q202</f>
        <v>0.48028529149569937</v>
      </c>
      <c r="S6" s="105">
        <f>[7]Hoja1!R202</f>
        <v>0.24506541848517802</v>
      </c>
    </row>
    <row r="7" spans="1:19" x14ac:dyDescent="0.25">
      <c r="B7" s="63" t="s">
        <v>243</v>
      </c>
      <c r="C7" s="105">
        <f>[7]Hoja1!B183</f>
        <v>5.0377368957844464</v>
      </c>
      <c r="D7" s="105">
        <f>[7]Hoja1!C183</f>
        <v>3.5722557567747906</v>
      </c>
      <c r="E7" s="105">
        <f>[7]Hoja1!D183</f>
        <v>3.4896750427224745</v>
      </c>
      <c r="F7" s="105">
        <f>[7]Hoja1!E183</f>
        <v>3.6122973986057136</v>
      </c>
      <c r="G7" s="105">
        <f>[7]Hoja1!F183</f>
        <v>6.3071363587214302</v>
      </c>
      <c r="H7" s="105">
        <f>[7]Hoja1!G183</f>
        <v>4.6420888416136163</v>
      </c>
      <c r="I7" s="105">
        <f>[7]Hoja1!H183</f>
        <v>3.9004133112269535</v>
      </c>
      <c r="J7" s="105">
        <f>[7]Hoja1!I183</f>
        <v>4.4333903334539846</v>
      </c>
      <c r="K7" s="105">
        <f>[7]Hoja1!J183</f>
        <v>4.3729878551613144</v>
      </c>
      <c r="L7" s="105">
        <f>[7]Hoja1!K183</f>
        <v>4.5240463627174847</v>
      </c>
      <c r="M7" s="105">
        <f>[7]Hoja1!L183</f>
        <v>5.0455062319853905</v>
      </c>
      <c r="N7" s="105">
        <f>[7]Hoja1!M183</f>
        <v>3.4938996530016806</v>
      </c>
      <c r="O7" s="105">
        <f>[7]Hoja1!N183</f>
        <v>3.9229011639904194</v>
      </c>
      <c r="P7" s="105">
        <f>[7]Hoja1!O183</f>
        <v>3.8332551439318818</v>
      </c>
      <c r="Q7" s="105">
        <f>[7]Hoja1!P183</f>
        <v>4.4857797721458121</v>
      </c>
      <c r="R7" s="105">
        <f>[7]Hoja1!Q183</f>
        <v>3.3711023648176384</v>
      </c>
      <c r="S7" s="105">
        <f>[7]Hoja1!R183</f>
        <v>5.235747120965641</v>
      </c>
    </row>
    <row r="8" spans="1:19" x14ac:dyDescent="0.25">
      <c r="B8" s="63" t="s">
        <v>242</v>
      </c>
      <c r="C8" s="105">
        <f>[7]Hoja1!B164</f>
        <v>4.5060575941734946</v>
      </c>
      <c r="D8" s="105">
        <f>[7]Hoja1!C164</f>
        <v>4.1687649630410828</v>
      </c>
      <c r="E8" s="105">
        <f>[7]Hoja1!D164</f>
        <v>3.1106214347592283</v>
      </c>
      <c r="F8" s="105">
        <f>[7]Hoja1!E164</f>
        <v>4.7925030315472759</v>
      </c>
      <c r="G8" s="105">
        <f>[7]Hoja1!F164</f>
        <v>5.5971988172011908</v>
      </c>
      <c r="H8" s="105">
        <f>[7]Hoja1!G164</f>
        <v>4.472584418536627</v>
      </c>
      <c r="I8" s="105">
        <f>[7]Hoja1!H164</f>
        <v>3.3782768141059107</v>
      </c>
      <c r="J8" s="105">
        <f>[7]Hoja1!I164</f>
        <v>4.1963692119835594</v>
      </c>
      <c r="K8" s="105">
        <f>[7]Hoja1!J164</f>
        <v>4.8287815984754952</v>
      </c>
      <c r="L8" s="105">
        <f>[7]Hoja1!K164</f>
        <v>5.1770149836377826</v>
      </c>
      <c r="M8" s="105">
        <f>[7]Hoja1!L164</f>
        <v>3.6496331038291698</v>
      </c>
      <c r="N8" s="105">
        <f>[7]Hoja1!M164</f>
        <v>3.1558315921670741</v>
      </c>
      <c r="O8" s="105">
        <f>[7]Hoja1!N164</f>
        <v>4.5698439368371728</v>
      </c>
      <c r="P8" s="105">
        <f>[7]Hoja1!O164</f>
        <v>4.0721929671660675</v>
      </c>
      <c r="Q8" s="105">
        <f>[7]Hoja1!P164</f>
        <v>5.5743528742740214</v>
      </c>
      <c r="R8" s="105">
        <f>[7]Hoja1!Q164</f>
        <v>3.8258901784741091</v>
      </c>
      <c r="S8" s="105">
        <f>[7]Hoja1!R164</f>
        <v>5.4356709515497084</v>
      </c>
    </row>
    <row r="31" spans="2:2" x14ac:dyDescent="0.25">
      <c r="B31" s="104" t="s">
        <v>248</v>
      </c>
    </row>
  </sheetData>
  <hyperlinks>
    <hyperlink ref="A1" location="Gráficos!A1" display="Ir a gráficos" xr:uid="{4C5055A9-18C1-4507-BBBD-0B9FFF43FC34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A8AD-9E8A-409C-AB92-C993FA78852E}">
  <dimension ref="A1:H31"/>
  <sheetViews>
    <sheetView workbookViewId="0"/>
  </sheetViews>
  <sheetFormatPr baseColWidth="10" defaultRowHeight="15" x14ac:dyDescent="0.25"/>
  <cols>
    <col min="1" max="1" width="11.42578125" style="36"/>
    <col min="2" max="2" width="13.85546875" style="36" customWidth="1"/>
    <col min="3" max="16384" width="11.42578125" style="36"/>
  </cols>
  <sheetData>
    <row r="1" spans="1:6" x14ac:dyDescent="0.25">
      <c r="A1" s="103" t="s">
        <v>218</v>
      </c>
    </row>
    <row r="2" spans="1:6" ht="16.5" x14ac:dyDescent="0.3">
      <c r="B2" s="34" t="s">
        <v>143</v>
      </c>
      <c r="C2" s="34" t="s">
        <v>144</v>
      </c>
    </row>
    <row r="3" spans="1:6" x14ac:dyDescent="0.25">
      <c r="B3" s="84"/>
      <c r="C3" s="32">
        <v>2022</v>
      </c>
      <c r="D3" s="32" t="s">
        <v>146</v>
      </c>
      <c r="F3" s="48"/>
    </row>
    <row r="4" spans="1:6" x14ac:dyDescent="0.25">
      <c r="B4" s="30" t="s">
        <v>142</v>
      </c>
      <c r="C4" s="85">
        <v>0.138422858598923</v>
      </c>
      <c r="D4" s="86">
        <v>1.7</v>
      </c>
    </row>
    <row r="5" spans="1:6" x14ac:dyDescent="0.25">
      <c r="B5" s="30" t="s">
        <v>141</v>
      </c>
      <c r="C5" s="85">
        <v>0.19403249753090734</v>
      </c>
      <c r="D5" s="86">
        <v>1.7</v>
      </c>
    </row>
    <row r="6" spans="1:6" x14ac:dyDescent="0.25">
      <c r="B6" s="30" t="s">
        <v>140</v>
      </c>
      <c r="C6" s="85">
        <v>0.34608467286622874</v>
      </c>
      <c r="D6" s="86">
        <v>1.7</v>
      </c>
    </row>
    <row r="7" spans="1:6" x14ac:dyDescent="0.25">
      <c r="B7" s="30" t="s">
        <v>139</v>
      </c>
      <c r="C7" s="85">
        <v>0.40443411638943244</v>
      </c>
      <c r="D7" s="86">
        <v>1.7</v>
      </c>
    </row>
    <row r="8" spans="1:6" x14ac:dyDescent="0.25">
      <c r="B8" s="30" t="s">
        <v>138</v>
      </c>
      <c r="C8" s="85">
        <v>0.45724408500850472</v>
      </c>
      <c r="D8" s="86">
        <v>1.7</v>
      </c>
    </row>
    <row r="9" spans="1:6" x14ac:dyDescent="0.25">
      <c r="B9" s="30" t="s">
        <v>137</v>
      </c>
      <c r="C9" s="85">
        <v>0.48300691197298434</v>
      </c>
      <c r="D9" s="86">
        <v>1.7</v>
      </c>
    </row>
    <row r="10" spans="1:6" x14ac:dyDescent="0.25">
      <c r="B10" s="30" t="s">
        <v>136</v>
      </c>
      <c r="C10" s="85">
        <v>0.51259472690247132</v>
      </c>
      <c r="D10" s="86">
        <v>1.7</v>
      </c>
    </row>
    <row r="11" spans="1:6" x14ac:dyDescent="0.25">
      <c r="B11" s="30" t="s">
        <v>135</v>
      </c>
      <c r="C11" s="85">
        <v>0.52510239853399798</v>
      </c>
      <c r="D11" s="86">
        <v>1.7</v>
      </c>
    </row>
    <row r="12" spans="1:6" x14ac:dyDescent="0.25">
      <c r="B12" s="30" t="s">
        <v>134</v>
      </c>
      <c r="C12" s="85">
        <v>0.52632728297435694</v>
      </c>
      <c r="D12" s="86">
        <v>1.7</v>
      </c>
    </row>
    <row r="13" spans="1:6" x14ac:dyDescent="0.25">
      <c r="B13" s="30" t="s">
        <v>133</v>
      </c>
      <c r="C13" s="85">
        <v>0.54631850380542102</v>
      </c>
      <c r="D13" s="86">
        <v>1.7</v>
      </c>
    </row>
    <row r="14" spans="1:6" x14ac:dyDescent="0.25">
      <c r="B14" s="30" t="s">
        <v>132</v>
      </c>
      <c r="C14" s="85">
        <v>0.81254952778493705</v>
      </c>
      <c r="D14" s="86">
        <v>1.7</v>
      </c>
    </row>
    <row r="15" spans="1:6" x14ac:dyDescent="0.25">
      <c r="B15" s="30" t="s">
        <v>131</v>
      </c>
      <c r="C15" s="85">
        <v>0.97997888640937303</v>
      </c>
      <c r="D15" s="86">
        <v>1.7</v>
      </c>
    </row>
    <row r="16" spans="1:6" x14ac:dyDescent="0.25">
      <c r="B16" s="30" t="s">
        <v>130</v>
      </c>
      <c r="C16" s="85">
        <v>0.99638822295749752</v>
      </c>
      <c r="D16" s="86">
        <v>1.7</v>
      </c>
    </row>
    <row r="17" spans="2:8" x14ac:dyDescent="0.25">
      <c r="B17" s="30" t="s">
        <v>129</v>
      </c>
      <c r="C17" s="85">
        <v>1.021214773138668</v>
      </c>
      <c r="D17" s="86">
        <v>1.7</v>
      </c>
    </row>
    <row r="18" spans="2:8" x14ac:dyDescent="0.25">
      <c r="B18" s="30" t="s">
        <v>128</v>
      </c>
      <c r="C18" s="85">
        <v>1.1060931397407139</v>
      </c>
      <c r="D18" s="86">
        <v>1.7</v>
      </c>
    </row>
    <row r="19" spans="2:8" x14ac:dyDescent="0.25">
      <c r="B19" s="30" t="s">
        <v>127</v>
      </c>
      <c r="C19" s="85">
        <v>1.1669911217473135</v>
      </c>
      <c r="D19" s="86">
        <v>1.7</v>
      </c>
    </row>
    <row r="20" spans="2:8" x14ac:dyDescent="0.25">
      <c r="B20" s="30" t="s">
        <v>126</v>
      </c>
      <c r="C20" s="85">
        <v>1.2267573785143226</v>
      </c>
      <c r="D20" s="86">
        <v>1.7</v>
      </c>
    </row>
    <row r="21" spans="2:8" x14ac:dyDescent="0.25">
      <c r="B21" s="30" t="s">
        <v>125</v>
      </c>
      <c r="C21" s="85">
        <v>1.48153325760083</v>
      </c>
      <c r="D21" s="86">
        <v>1.7</v>
      </c>
    </row>
    <row r="22" spans="2:8" x14ac:dyDescent="0.25">
      <c r="B22" s="30" t="s">
        <v>124</v>
      </c>
      <c r="C22" s="85">
        <v>1.5736208018369182</v>
      </c>
      <c r="D22" s="86">
        <v>1.7</v>
      </c>
    </row>
    <row r="23" spans="2:8" x14ac:dyDescent="0.25">
      <c r="B23" s="30" t="s">
        <v>123</v>
      </c>
      <c r="C23" s="85">
        <v>1.6364774361964805</v>
      </c>
      <c r="D23" s="86">
        <v>1.7</v>
      </c>
    </row>
    <row r="24" spans="2:8" x14ac:dyDescent="0.25">
      <c r="B24" s="30" t="s">
        <v>122</v>
      </c>
      <c r="C24" s="85">
        <v>1.856100223506971</v>
      </c>
      <c r="D24" s="86">
        <v>1.7</v>
      </c>
    </row>
    <row r="25" spans="2:8" x14ac:dyDescent="0.25">
      <c r="B25" s="30" t="s">
        <v>121</v>
      </c>
      <c r="C25" s="85">
        <v>1.8961810566493091</v>
      </c>
      <c r="D25" s="86">
        <v>1.7</v>
      </c>
      <c r="H25" s="36" t="s">
        <v>145</v>
      </c>
    </row>
    <row r="26" spans="2:8" x14ac:dyDescent="0.25">
      <c r="B26" s="30" t="s">
        <v>120</v>
      </c>
      <c r="C26" s="85">
        <v>2.0960484953597551</v>
      </c>
      <c r="D26" s="86">
        <v>1.7</v>
      </c>
    </row>
    <row r="27" spans="2:8" x14ac:dyDescent="0.25">
      <c r="B27" s="30" t="s">
        <v>119</v>
      </c>
      <c r="C27" s="85">
        <v>2.3083145366981968</v>
      </c>
      <c r="D27" s="86">
        <v>1.7</v>
      </c>
    </row>
    <row r="28" spans="2:8" x14ac:dyDescent="0.25">
      <c r="B28" s="30" t="s">
        <v>118</v>
      </c>
      <c r="C28" s="85">
        <v>2.9816087618959388</v>
      </c>
      <c r="D28" s="86">
        <v>1.7</v>
      </c>
    </row>
    <row r="29" spans="2:8" x14ac:dyDescent="0.25">
      <c r="B29" s="30" t="s">
        <v>117</v>
      </c>
      <c r="C29" s="85">
        <v>3.1618759658758004</v>
      </c>
      <c r="D29" s="86">
        <v>1.7</v>
      </c>
    </row>
    <row r="30" spans="2:8" x14ac:dyDescent="0.25">
      <c r="B30" s="30" t="s">
        <v>116</v>
      </c>
      <c r="C30" s="85">
        <v>3.8319670870974294</v>
      </c>
      <c r="D30" s="86">
        <v>1.7</v>
      </c>
    </row>
    <row r="31" spans="2:8" x14ac:dyDescent="0.25">
      <c r="B31" s="30" t="s">
        <v>115</v>
      </c>
      <c r="C31" s="85">
        <v>4.026959414714022</v>
      </c>
      <c r="D31" s="86">
        <v>1.7</v>
      </c>
    </row>
  </sheetData>
  <hyperlinks>
    <hyperlink ref="A1" location="Gráficos!A1" display="Ir a gráficos" xr:uid="{0F2446F9-55F3-49D7-B062-EAA9FE953C15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A439-DCA7-4580-B16A-F2808BB671C8}">
  <dimension ref="A1:T24"/>
  <sheetViews>
    <sheetView zoomScale="90" zoomScaleNormal="90" workbookViewId="0"/>
  </sheetViews>
  <sheetFormatPr baseColWidth="10" defaultRowHeight="15" x14ac:dyDescent="0.25"/>
  <cols>
    <col min="1" max="1" width="11.42578125" style="36"/>
    <col min="2" max="2" width="18.28515625" style="36" bestFit="1" customWidth="1"/>
    <col min="3" max="3" width="16.5703125" style="36" bestFit="1" customWidth="1"/>
    <col min="4" max="4" width="12.85546875" style="36" bestFit="1" customWidth="1"/>
    <col min="5" max="14" width="11.42578125" style="36"/>
    <col min="15" max="15" width="20.42578125" style="36" bestFit="1" customWidth="1"/>
    <col min="16" max="16" width="18.140625" style="36" bestFit="1" customWidth="1"/>
    <col min="17" max="17" width="22.140625" style="36" customWidth="1"/>
    <col min="18" max="18" width="18" style="36" bestFit="1" customWidth="1"/>
    <col min="19" max="26" width="11.42578125" style="36"/>
    <col min="27" max="27" width="11.85546875" style="36" bestFit="1" customWidth="1"/>
    <col min="28" max="16384" width="11.42578125" style="36"/>
  </cols>
  <sheetData>
    <row r="1" spans="1:20" x14ac:dyDescent="0.25">
      <c r="A1" s="103" t="s">
        <v>218</v>
      </c>
      <c r="Q1" s="50"/>
      <c r="R1" s="50"/>
      <c r="S1" s="50"/>
      <c r="T1" s="50"/>
    </row>
    <row r="2" spans="1:20" x14ac:dyDescent="0.25">
      <c r="M2" s="91" t="s">
        <v>167</v>
      </c>
      <c r="N2" s="101"/>
      <c r="Q2" s="50"/>
      <c r="R2" s="50"/>
      <c r="S2" s="50"/>
      <c r="T2" s="50"/>
    </row>
    <row r="3" spans="1:20" ht="16.5" x14ac:dyDescent="0.3">
      <c r="B3" s="34" t="s">
        <v>171</v>
      </c>
      <c r="C3" s="34" t="s">
        <v>172</v>
      </c>
      <c r="M3" s="32" t="s">
        <v>40</v>
      </c>
      <c r="N3" s="32" t="s">
        <v>39</v>
      </c>
      <c r="Q3" s="50"/>
      <c r="R3" s="50"/>
      <c r="S3" s="50"/>
      <c r="T3" s="50"/>
    </row>
    <row r="4" spans="1:20" ht="16.5" x14ac:dyDescent="0.3">
      <c r="L4" s="30" t="s">
        <v>166</v>
      </c>
      <c r="M4" s="89">
        <v>1.4151044020083351E-2</v>
      </c>
      <c r="N4" s="89">
        <v>4.5705488132148139E-3</v>
      </c>
      <c r="O4" s="88"/>
      <c r="P4" s="88"/>
      <c r="Q4" s="50"/>
      <c r="R4" s="50"/>
      <c r="S4" s="50"/>
      <c r="T4" s="50"/>
    </row>
    <row r="5" spans="1:20" ht="16.5" x14ac:dyDescent="0.3">
      <c r="L5" s="30" t="s">
        <v>165</v>
      </c>
      <c r="M5" s="89">
        <v>4.1787953480163911E-2</v>
      </c>
      <c r="N5" s="89">
        <v>9.8974399772312933E-3</v>
      </c>
      <c r="O5" s="88"/>
      <c r="P5" s="88"/>
      <c r="Q5" s="50"/>
      <c r="R5" s="50"/>
      <c r="S5" s="50"/>
      <c r="T5" s="50"/>
    </row>
    <row r="6" spans="1:20" ht="16.5" x14ac:dyDescent="0.3">
      <c r="L6" s="30" t="s">
        <v>164</v>
      </c>
      <c r="M6" s="89">
        <v>3.9270747075056581E-2</v>
      </c>
      <c r="N6" s="89">
        <v>9.7316049136481134E-3</v>
      </c>
      <c r="O6" s="88"/>
      <c r="P6" s="88"/>
      <c r="Q6" s="50"/>
      <c r="R6" s="50"/>
      <c r="S6" s="50"/>
      <c r="T6" s="50"/>
    </row>
    <row r="7" spans="1:20" ht="16.5" x14ac:dyDescent="0.3">
      <c r="L7" s="30" t="s">
        <v>163</v>
      </c>
      <c r="M7" s="89">
        <v>3.603600109376303E-2</v>
      </c>
      <c r="N7" s="89">
        <v>1.0399427196726325E-2</v>
      </c>
      <c r="O7" s="88"/>
      <c r="P7" s="88"/>
      <c r="Q7" s="50"/>
      <c r="R7" s="50"/>
      <c r="S7" s="50"/>
      <c r="T7" s="50"/>
    </row>
    <row r="8" spans="1:20" ht="16.5" x14ac:dyDescent="0.3">
      <c r="L8" s="30" t="s">
        <v>162</v>
      </c>
      <c r="M8" s="89">
        <v>2.7675695383117652E-2</v>
      </c>
      <c r="N8" s="89">
        <v>9.7943533160849919E-3</v>
      </c>
      <c r="O8" s="88"/>
      <c r="P8" s="88"/>
      <c r="Q8" s="50"/>
      <c r="R8" s="50"/>
      <c r="S8" s="50"/>
      <c r="T8" s="50"/>
    </row>
    <row r="9" spans="1:20" ht="16.5" x14ac:dyDescent="0.3">
      <c r="L9" s="30" t="s">
        <v>161</v>
      </c>
      <c r="M9" s="89">
        <v>2.2249544750228351E-2</v>
      </c>
      <c r="N9" s="89">
        <v>8.5987721482251728E-3</v>
      </c>
      <c r="O9" s="88"/>
      <c r="P9" s="88"/>
      <c r="Q9" s="50"/>
      <c r="R9" s="50"/>
      <c r="S9" s="50"/>
      <c r="T9" s="50"/>
    </row>
    <row r="10" spans="1:20" ht="16.5" x14ac:dyDescent="0.3">
      <c r="L10" s="30" t="s">
        <v>160</v>
      </c>
      <c r="M10" s="89">
        <v>2.0930823366967194E-2</v>
      </c>
      <c r="N10" s="89">
        <v>8.6054951913434093E-3</v>
      </c>
      <c r="O10" s="88"/>
      <c r="P10" s="88"/>
      <c r="Q10" s="50"/>
      <c r="R10" s="50"/>
      <c r="S10" s="50"/>
      <c r="T10" s="50"/>
    </row>
    <row r="11" spans="1:20" ht="16.5" x14ac:dyDescent="0.3">
      <c r="L11" s="30" t="s">
        <v>159</v>
      </c>
      <c r="M11" s="89">
        <v>2.2100218946535546E-2</v>
      </c>
      <c r="N11" s="89">
        <v>9.4750087679687338E-3</v>
      </c>
      <c r="O11" s="88"/>
      <c r="P11" s="88"/>
      <c r="Q11" s="50"/>
      <c r="R11" s="50"/>
      <c r="S11" s="50"/>
      <c r="T11" s="50"/>
    </row>
    <row r="12" spans="1:20" ht="16.5" x14ac:dyDescent="0.3">
      <c r="L12" s="30" t="s">
        <v>158</v>
      </c>
      <c r="M12" s="89">
        <v>2.7219960787431809E-2</v>
      </c>
      <c r="N12" s="89">
        <v>1.235807375850605E-2</v>
      </c>
      <c r="O12" s="88"/>
      <c r="P12" s="88"/>
      <c r="Q12" s="50"/>
      <c r="R12" s="50"/>
      <c r="S12" s="50"/>
      <c r="T12" s="50"/>
    </row>
    <row r="13" spans="1:20" ht="16.5" x14ac:dyDescent="0.3">
      <c r="L13" s="30" t="s">
        <v>157</v>
      </c>
      <c r="M13" s="89">
        <v>3.6109694347533507E-2</v>
      </c>
      <c r="N13" s="89">
        <v>1.7247967119837122E-2</v>
      </c>
      <c r="O13" s="88"/>
      <c r="P13" s="88"/>
      <c r="Q13" s="50"/>
      <c r="R13" s="50"/>
      <c r="S13" s="50"/>
      <c r="T13" s="50"/>
    </row>
    <row r="14" spans="1:20" ht="16.5" x14ac:dyDescent="0.3">
      <c r="L14" s="30" t="s">
        <v>156</v>
      </c>
      <c r="M14" s="89">
        <v>4.1270161407618716E-2</v>
      </c>
      <c r="N14" s="89">
        <v>2.0915387140835427E-2</v>
      </c>
      <c r="O14" s="88"/>
      <c r="P14" s="88"/>
      <c r="Q14" s="50"/>
      <c r="R14" s="50"/>
      <c r="S14" s="50"/>
      <c r="T14" s="50"/>
    </row>
    <row r="15" spans="1:20" ht="16.5" x14ac:dyDescent="0.3">
      <c r="L15" s="30" t="s">
        <v>155</v>
      </c>
      <c r="M15" s="89">
        <v>4.7553480939627774E-2</v>
      </c>
      <c r="N15" s="89">
        <v>2.5669699132615388E-2</v>
      </c>
      <c r="O15" s="88"/>
      <c r="P15" s="88"/>
      <c r="Q15" s="50"/>
      <c r="R15" s="50"/>
      <c r="S15" s="50"/>
      <c r="T15" s="50"/>
    </row>
    <row r="16" spans="1:20" ht="16.5" x14ac:dyDescent="0.3">
      <c r="L16" s="30" t="s">
        <v>154</v>
      </c>
      <c r="M16" s="89">
        <v>5.2250456219419726E-2</v>
      </c>
      <c r="N16" s="89">
        <v>2.970688652511673E-2</v>
      </c>
      <c r="O16" s="88"/>
      <c r="P16" s="88"/>
      <c r="Q16" s="50"/>
      <c r="R16" s="50"/>
      <c r="S16" s="50"/>
      <c r="T16" s="50"/>
    </row>
    <row r="17" spans="2:20" ht="16.5" x14ac:dyDescent="0.3">
      <c r="L17" s="30" t="s">
        <v>153</v>
      </c>
      <c r="M17" s="89">
        <v>5.4055940936796401E-2</v>
      </c>
      <c r="N17" s="89">
        <v>3.5620923454792577E-2</v>
      </c>
      <c r="O17" s="88"/>
      <c r="P17" s="88"/>
      <c r="Q17" s="50"/>
      <c r="R17" s="50"/>
      <c r="S17" s="50"/>
      <c r="T17" s="50"/>
    </row>
    <row r="18" spans="2:20" ht="16.5" x14ac:dyDescent="0.3">
      <c r="L18" s="30" t="s">
        <v>152</v>
      </c>
      <c r="M18" s="89">
        <v>6.126430473324012E-2</v>
      </c>
      <c r="N18" s="89">
        <v>5.2125994310064511E-2</v>
      </c>
      <c r="O18" s="88"/>
      <c r="P18" s="88"/>
      <c r="Q18" s="50"/>
      <c r="R18" s="50"/>
      <c r="S18" s="50"/>
      <c r="T18" s="50"/>
    </row>
    <row r="19" spans="2:20" ht="16.5" x14ac:dyDescent="0.3">
      <c r="L19" s="30" t="s">
        <v>151</v>
      </c>
      <c r="M19" s="89">
        <v>8.4789906351388833E-2</v>
      </c>
      <c r="N19" s="89">
        <v>9.9820382698024429E-2</v>
      </c>
      <c r="O19" s="88"/>
      <c r="P19" s="88"/>
      <c r="Q19" s="50"/>
      <c r="R19" s="50"/>
      <c r="S19" s="50"/>
      <c r="T19" s="50"/>
    </row>
    <row r="20" spans="2:20" ht="16.5" x14ac:dyDescent="0.3">
      <c r="L20" s="30" t="s">
        <v>150</v>
      </c>
      <c r="M20" s="89">
        <v>0.10714223379766548</v>
      </c>
      <c r="N20" s="89">
        <v>0.15849125948369269</v>
      </c>
      <c r="O20" s="88"/>
      <c r="P20" s="88"/>
    </row>
    <row r="21" spans="2:20" ht="16.5" x14ac:dyDescent="0.3">
      <c r="L21" s="30" t="s">
        <v>149</v>
      </c>
      <c r="M21" s="89">
        <v>0.13435831599279358</v>
      </c>
      <c r="N21" s="89">
        <v>0.22345826614958994</v>
      </c>
      <c r="O21" s="88"/>
      <c r="P21" s="88"/>
    </row>
    <row r="22" spans="2:20" ht="16.5" x14ac:dyDescent="0.3">
      <c r="L22" s="30" t="s">
        <v>148</v>
      </c>
      <c r="M22" s="89">
        <v>9.9410260040221007E-2</v>
      </c>
      <c r="N22" s="89">
        <v>0.18147958491931787</v>
      </c>
      <c r="O22" s="88"/>
      <c r="P22" s="88"/>
    </row>
    <row r="23" spans="2:20" ht="16.5" x14ac:dyDescent="0.3">
      <c r="L23" s="30" t="s">
        <v>147</v>
      </c>
      <c r="M23" s="89">
        <v>3.0373256330347462E-2</v>
      </c>
      <c r="N23" s="89">
        <v>7.2032924983164381E-2</v>
      </c>
      <c r="O23" s="88"/>
      <c r="P23" s="88"/>
    </row>
    <row r="24" spans="2:20" x14ac:dyDescent="0.25">
      <c r="B24" s="36" t="s">
        <v>173</v>
      </c>
    </row>
  </sheetData>
  <mergeCells count="1">
    <mergeCell ref="M2:N2"/>
  </mergeCells>
  <hyperlinks>
    <hyperlink ref="A1" location="Gráficos!A1" display="Ir a gráficos" xr:uid="{CD063163-06F0-4D71-80F8-F66CDC0E1D3B}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122F-7AA9-4122-9DC8-F94A5450687F}">
  <dimension ref="A1:V28"/>
  <sheetViews>
    <sheetView zoomScale="90" zoomScaleNormal="90" workbookViewId="0"/>
  </sheetViews>
  <sheetFormatPr baseColWidth="10" defaultRowHeight="15" x14ac:dyDescent="0.25"/>
  <cols>
    <col min="1" max="1" width="11.42578125" style="36"/>
    <col min="2" max="2" width="14.42578125" style="36" customWidth="1"/>
    <col min="3" max="3" width="18.28515625" style="36" bestFit="1" customWidth="1"/>
    <col min="4" max="4" width="16.5703125" style="36" bestFit="1" customWidth="1"/>
    <col min="5" max="5" width="12.85546875" style="36" bestFit="1" customWidth="1"/>
    <col min="6" max="19" width="11.42578125" style="36"/>
    <col min="20" max="20" width="11.85546875" style="36" bestFit="1" customWidth="1"/>
    <col min="21" max="16384" width="11.42578125" style="36"/>
  </cols>
  <sheetData>
    <row r="1" spans="1:22" x14ac:dyDescent="0.25">
      <c r="A1" s="103" t="s">
        <v>218</v>
      </c>
    </row>
    <row r="2" spans="1:22" ht="16.5" x14ac:dyDescent="0.3">
      <c r="B2" s="34" t="s">
        <v>174</v>
      </c>
      <c r="C2" s="34" t="s">
        <v>175</v>
      </c>
    </row>
    <row r="4" spans="1:22" x14ac:dyDescent="0.25">
      <c r="B4" s="48"/>
    </row>
    <row r="5" spans="1:22" x14ac:dyDescent="0.25">
      <c r="B5" s="36" t="s">
        <v>59</v>
      </c>
      <c r="C5" s="32" t="s">
        <v>58</v>
      </c>
      <c r="D5" s="32" t="s">
        <v>57</v>
      </c>
      <c r="E5" s="32" t="s">
        <v>87</v>
      </c>
    </row>
    <row r="6" spans="1:22" ht="16.5" x14ac:dyDescent="0.3">
      <c r="B6" s="30" t="s">
        <v>166</v>
      </c>
      <c r="C6" s="90">
        <v>5814.3843575932524</v>
      </c>
      <c r="D6" s="90">
        <v>5679.5220755805067</v>
      </c>
      <c r="E6" s="90">
        <v>5766.0278835839426</v>
      </c>
      <c r="O6" s="77"/>
      <c r="P6" s="77"/>
      <c r="Q6" s="77"/>
      <c r="R6" s="50"/>
      <c r="T6" s="77"/>
      <c r="U6" s="77"/>
      <c r="V6" s="77"/>
    </row>
    <row r="7" spans="1:22" ht="16.5" x14ac:dyDescent="0.3">
      <c r="B7" s="30" t="s">
        <v>165</v>
      </c>
      <c r="C7" s="90">
        <v>5478.623443835455</v>
      </c>
      <c r="D7" s="90">
        <v>5490.560846726632</v>
      </c>
      <c r="E7" s="90">
        <v>5482.0941353774724</v>
      </c>
      <c r="O7" s="77"/>
      <c r="P7" s="77"/>
      <c r="Q7" s="77"/>
      <c r="R7" s="50"/>
      <c r="T7" s="77"/>
      <c r="U7" s="77"/>
      <c r="V7" s="77"/>
    </row>
    <row r="8" spans="1:22" ht="16.5" x14ac:dyDescent="0.3">
      <c r="B8" s="30" t="s">
        <v>164</v>
      </c>
      <c r="C8" s="90">
        <v>4906.6744573597362</v>
      </c>
      <c r="D8" s="90">
        <v>4962.8267461304558</v>
      </c>
      <c r="E8" s="90">
        <v>4923.5288768507971</v>
      </c>
      <c r="O8" s="77"/>
      <c r="P8" s="77"/>
      <c r="Q8" s="77"/>
      <c r="R8" s="50"/>
      <c r="T8" s="77"/>
      <c r="U8" s="77"/>
      <c r="V8" s="77"/>
    </row>
    <row r="9" spans="1:22" ht="16.5" x14ac:dyDescent="0.3">
      <c r="B9" s="30" t="s">
        <v>163</v>
      </c>
      <c r="C9" s="90">
        <v>5024.5383833729447</v>
      </c>
      <c r="D9" s="90">
        <v>5036.3285154893265</v>
      </c>
      <c r="E9" s="90">
        <v>5028.4656064347873</v>
      </c>
      <c r="O9" s="77"/>
      <c r="P9" s="77"/>
      <c r="Q9" s="77"/>
      <c r="R9" s="50"/>
      <c r="T9" s="77"/>
      <c r="U9" s="77"/>
      <c r="V9" s="77"/>
    </row>
    <row r="10" spans="1:22" ht="16.5" x14ac:dyDescent="0.3">
      <c r="B10" s="30" t="s">
        <v>162</v>
      </c>
      <c r="C10" s="90">
        <v>8444.8226340718684</v>
      </c>
      <c r="D10" s="90">
        <v>8474.5439252902652</v>
      </c>
      <c r="E10" s="90">
        <v>8456.1121267947437</v>
      </c>
      <c r="O10" s="77"/>
      <c r="P10" s="77"/>
      <c r="Q10" s="77"/>
      <c r="R10" s="50"/>
      <c r="T10" s="77"/>
      <c r="U10" s="77"/>
      <c r="V10" s="77"/>
    </row>
    <row r="11" spans="1:22" ht="16.5" x14ac:dyDescent="0.3">
      <c r="B11" s="30" t="s">
        <v>161</v>
      </c>
      <c r="C11" s="90">
        <v>10990.418967759455</v>
      </c>
      <c r="D11" s="90">
        <v>10757.088891839503</v>
      </c>
      <c r="E11" s="90">
        <v>10896.901706433326</v>
      </c>
      <c r="O11" s="77"/>
      <c r="P11" s="77"/>
      <c r="Q11" s="77"/>
      <c r="R11" s="50"/>
      <c r="T11" s="77"/>
      <c r="U11" s="77"/>
      <c r="V11" s="77"/>
    </row>
    <row r="12" spans="1:22" ht="16.5" x14ac:dyDescent="0.3">
      <c r="B12" s="30" t="s">
        <v>160</v>
      </c>
      <c r="C12" s="90">
        <v>12147.745888528101</v>
      </c>
      <c r="D12" s="90">
        <v>11970.117181469406</v>
      </c>
      <c r="E12" s="90">
        <v>12073.898193502167</v>
      </c>
      <c r="O12" s="77"/>
      <c r="P12" s="77"/>
      <c r="Q12" s="77"/>
      <c r="R12" s="50"/>
      <c r="T12" s="77"/>
      <c r="U12" s="77"/>
      <c r="V12" s="77"/>
    </row>
    <row r="13" spans="1:22" ht="16.5" x14ac:dyDescent="0.3">
      <c r="B13" s="30" t="s">
        <v>159</v>
      </c>
      <c r="C13" s="90">
        <v>12736.078501769152</v>
      </c>
      <c r="D13" s="90">
        <v>12545.214612299453</v>
      </c>
      <c r="E13" s="90">
        <v>12654.779637707225</v>
      </c>
      <c r="O13" s="77"/>
      <c r="P13" s="77"/>
      <c r="Q13" s="77"/>
      <c r="R13" s="50"/>
      <c r="T13" s="77"/>
      <c r="U13" s="77"/>
      <c r="V13" s="77"/>
    </row>
    <row r="14" spans="1:22" ht="16.5" x14ac:dyDescent="0.3">
      <c r="B14" s="30" t="s">
        <v>158</v>
      </c>
      <c r="C14" s="90">
        <v>12347.90086110349</v>
      </c>
      <c r="D14" s="90">
        <v>12405.062765127934</v>
      </c>
      <c r="E14" s="90">
        <v>12373.053011092828</v>
      </c>
      <c r="O14" s="77"/>
      <c r="P14" s="77"/>
      <c r="Q14" s="77"/>
      <c r="R14" s="50"/>
      <c r="T14" s="77"/>
      <c r="U14" s="77"/>
      <c r="V14" s="77"/>
    </row>
    <row r="15" spans="1:22" ht="16.5" x14ac:dyDescent="0.3">
      <c r="B15" s="30" t="s">
        <v>157</v>
      </c>
      <c r="C15" s="90">
        <v>12406.561754131772</v>
      </c>
      <c r="D15" s="90">
        <v>11617.929544090253</v>
      </c>
      <c r="E15" s="90">
        <v>12049.656582310065</v>
      </c>
      <c r="O15" s="77"/>
      <c r="P15" s="77"/>
      <c r="Q15" s="77"/>
      <c r="R15" s="50"/>
      <c r="T15" s="77"/>
      <c r="U15" s="77"/>
      <c r="V15" s="77"/>
    </row>
    <row r="16" spans="1:22" ht="16.5" x14ac:dyDescent="0.3">
      <c r="B16" s="30" t="s">
        <v>156</v>
      </c>
      <c r="C16" s="90">
        <v>11829.005100234648</v>
      </c>
      <c r="D16" s="90">
        <v>10884.964786955285</v>
      </c>
      <c r="E16" s="90">
        <v>11387.884202853791</v>
      </c>
      <c r="O16" s="77"/>
      <c r="P16" s="77"/>
      <c r="Q16" s="77"/>
      <c r="R16" s="50"/>
      <c r="T16" s="77"/>
      <c r="U16" s="77"/>
      <c r="V16" s="77"/>
    </row>
    <row r="17" spans="2:22" ht="16.5" x14ac:dyDescent="0.3">
      <c r="B17" s="30" t="s">
        <v>155</v>
      </c>
      <c r="C17" s="90">
        <v>11153.799133225253</v>
      </c>
      <c r="D17" s="90">
        <v>9793.8099849964401</v>
      </c>
      <c r="E17" s="90">
        <v>10496.915485812744</v>
      </c>
      <c r="O17" s="77"/>
      <c r="P17" s="77"/>
      <c r="Q17" s="77"/>
      <c r="R17" s="50"/>
      <c r="T17" s="77"/>
      <c r="U17" s="77"/>
      <c r="V17" s="77"/>
    </row>
    <row r="18" spans="2:22" ht="16.5" x14ac:dyDescent="0.3">
      <c r="B18" s="30" t="s">
        <v>154</v>
      </c>
      <c r="C18" s="90">
        <v>10560.841149990276</v>
      </c>
      <c r="D18" s="90">
        <v>8872.708109329802</v>
      </c>
      <c r="E18" s="90">
        <v>9723.5802169813996</v>
      </c>
      <c r="O18" s="77"/>
      <c r="P18" s="77"/>
      <c r="Q18" s="77"/>
      <c r="R18" s="50"/>
      <c r="T18" s="77"/>
      <c r="U18" s="77"/>
      <c r="V18" s="77"/>
    </row>
    <row r="19" spans="2:22" ht="16.5" x14ac:dyDescent="0.3">
      <c r="B19" s="30" t="s">
        <v>153</v>
      </c>
      <c r="C19" s="90">
        <v>9936.4839213627893</v>
      </c>
      <c r="D19" s="90">
        <v>8058.5995378123471</v>
      </c>
      <c r="E19" s="90">
        <v>8935.9149928117567</v>
      </c>
      <c r="O19" s="77"/>
      <c r="P19" s="77"/>
      <c r="Q19" s="77"/>
      <c r="R19" s="50"/>
      <c r="T19" s="77"/>
      <c r="U19" s="77"/>
      <c r="V19" s="77"/>
    </row>
    <row r="20" spans="2:22" ht="16.5" x14ac:dyDescent="0.3">
      <c r="B20" s="30" t="s">
        <v>152</v>
      </c>
      <c r="C20" s="90">
        <v>9101.3873155127549</v>
      </c>
      <c r="D20" s="90">
        <v>7245.3144688474085</v>
      </c>
      <c r="E20" s="90">
        <v>7995.9795134506076</v>
      </c>
      <c r="O20" s="77"/>
      <c r="P20" s="77"/>
      <c r="Q20" s="77"/>
      <c r="R20" s="50"/>
      <c r="T20" s="77"/>
      <c r="U20" s="77"/>
      <c r="V20" s="77"/>
    </row>
    <row r="21" spans="2:22" ht="16.5" x14ac:dyDescent="0.3">
      <c r="B21" s="30" t="s">
        <v>151</v>
      </c>
      <c r="C21" s="90">
        <v>8310.0696219395759</v>
      </c>
      <c r="D21" s="90">
        <v>6994.5255942651293</v>
      </c>
      <c r="E21" s="90">
        <v>7427.6218616153838</v>
      </c>
      <c r="O21" s="77"/>
      <c r="P21" s="77"/>
      <c r="Q21" s="77"/>
      <c r="R21" s="50"/>
      <c r="T21" s="77"/>
      <c r="U21" s="77"/>
      <c r="V21" s="77"/>
    </row>
    <row r="22" spans="2:22" ht="16.5" x14ac:dyDescent="0.3">
      <c r="B22" s="30" t="s">
        <v>150</v>
      </c>
      <c r="C22" s="90">
        <v>7408.6771650444061</v>
      </c>
      <c r="D22" s="90">
        <v>6853.5533239567803</v>
      </c>
      <c r="E22" s="90">
        <v>7009.4781715496165</v>
      </c>
      <c r="O22" s="77"/>
      <c r="P22" s="77"/>
      <c r="Q22" s="77"/>
      <c r="R22" s="50"/>
      <c r="T22" s="77"/>
      <c r="U22" s="77"/>
      <c r="V22" s="77"/>
    </row>
    <row r="23" spans="2:22" ht="16.5" x14ac:dyDescent="0.3">
      <c r="B23" s="30" t="s">
        <v>149</v>
      </c>
      <c r="C23" s="90">
        <v>7037.0628713678889</v>
      </c>
      <c r="D23" s="90">
        <v>7523.8048575280181</v>
      </c>
      <c r="E23" s="90">
        <v>7398.3063301856837</v>
      </c>
      <c r="O23" s="77"/>
      <c r="P23" s="77"/>
      <c r="Q23" s="77"/>
      <c r="R23" s="50"/>
      <c r="T23" s="77"/>
      <c r="U23" s="77"/>
      <c r="V23" s="77"/>
    </row>
    <row r="24" spans="2:22" ht="16.5" x14ac:dyDescent="0.3">
      <c r="B24" s="30" t="s">
        <v>148</v>
      </c>
      <c r="C24" s="90">
        <v>7129.4821578244109</v>
      </c>
      <c r="D24" s="90">
        <v>8700.509445910182</v>
      </c>
      <c r="E24" s="90">
        <v>8322.8183440377379</v>
      </c>
      <c r="O24" s="77"/>
      <c r="P24" s="77"/>
      <c r="Q24" s="77"/>
      <c r="R24" s="50"/>
      <c r="T24" s="77"/>
      <c r="U24" s="77"/>
      <c r="V24" s="77"/>
    </row>
    <row r="25" spans="2:22" ht="16.5" x14ac:dyDescent="0.3">
      <c r="B25" s="30" t="s">
        <v>147</v>
      </c>
      <c r="C25" s="90">
        <v>7941.1339625562141</v>
      </c>
      <c r="D25" s="90">
        <v>10319.416692554845</v>
      </c>
      <c r="E25" s="90">
        <v>9853.5055488458838</v>
      </c>
      <c r="O25" s="77"/>
      <c r="P25" s="77"/>
      <c r="Q25" s="77"/>
      <c r="R25" s="50"/>
      <c r="T25" s="77"/>
      <c r="U25" s="77"/>
      <c r="V25" s="77"/>
    </row>
    <row r="26" spans="2:22" x14ac:dyDescent="0.25">
      <c r="G26" s="36" t="s">
        <v>176</v>
      </c>
      <c r="O26" s="77"/>
      <c r="P26" s="77"/>
      <c r="Q26" s="77"/>
      <c r="R26" s="50"/>
      <c r="T26" s="77"/>
      <c r="U26" s="77"/>
      <c r="V26" s="77"/>
    </row>
    <row r="28" spans="2:22" x14ac:dyDescent="0.25">
      <c r="T28" s="87"/>
    </row>
  </sheetData>
  <hyperlinks>
    <hyperlink ref="A1" location="Gráficos!A1" display="Ir a gráficos" xr:uid="{0460C28C-C897-416B-B85E-8FAA33C8C2F3}"/>
  </hyperlink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B4D9-765C-4570-903D-D167FAD62197}">
  <dimension ref="A1:G51"/>
  <sheetViews>
    <sheetView workbookViewId="0"/>
  </sheetViews>
  <sheetFormatPr baseColWidth="10" defaultRowHeight="15" x14ac:dyDescent="0.25"/>
  <cols>
    <col min="1" max="5" width="11.42578125" style="36"/>
    <col min="6" max="6" width="15.7109375" style="36" customWidth="1"/>
    <col min="7" max="16384" width="11.42578125" style="36"/>
  </cols>
  <sheetData>
    <row r="1" spans="1:7" x14ac:dyDescent="0.25">
      <c r="A1" s="103" t="s">
        <v>218</v>
      </c>
    </row>
    <row r="3" spans="1:7" x14ac:dyDescent="0.25">
      <c r="B3" s="48"/>
    </row>
    <row r="4" spans="1:7" x14ac:dyDescent="0.25">
      <c r="C4" s="32" t="s">
        <v>110</v>
      </c>
    </row>
    <row r="5" spans="1:7" ht="16.5" x14ac:dyDescent="0.3">
      <c r="B5" s="30">
        <f>[2]DATOS_MODELOS_PIB!A2</f>
        <v>2024</v>
      </c>
      <c r="C5" s="55">
        <f>[2]DATOS_MODELOS_PIB!G2</f>
        <v>0.79982749962524124</v>
      </c>
      <c r="F5" s="34" t="s">
        <v>168</v>
      </c>
      <c r="G5" s="34" t="s">
        <v>169</v>
      </c>
    </row>
    <row r="6" spans="1:7" ht="16.5" x14ac:dyDescent="0.3">
      <c r="B6" s="30">
        <f>[2]DATOS_MODELOS_PIB!A3</f>
        <v>2025</v>
      </c>
      <c r="C6" s="55">
        <f>[2]DATOS_MODELOS_PIB!G3</f>
        <v>0.81873673803471214</v>
      </c>
    </row>
    <row r="7" spans="1:7" ht="16.5" x14ac:dyDescent="0.3">
      <c r="B7" s="30">
        <f>[2]DATOS_MODELOS_PIB!A4</f>
        <v>2026</v>
      </c>
      <c r="C7" s="55">
        <f>[2]DATOS_MODELOS_PIB!G4</f>
        <v>0.82252934700969493</v>
      </c>
    </row>
    <row r="8" spans="1:7" ht="16.5" x14ac:dyDescent="0.3">
      <c r="B8" s="30">
        <f>[2]DATOS_MODELOS_PIB!A5</f>
        <v>2027</v>
      </c>
      <c r="C8" s="55">
        <f>[2]DATOS_MODELOS_PIB!G5</f>
        <v>0.8200145492907589</v>
      </c>
    </row>
    <row r="9" spans="1:7" ht="16.5" x14ac:dyDescent="0.3">
      <c r="B9" s="30">
        <f>[2]DATOS_MODELOS_PIB!A6</f>
        <v>2028</v>
      </c>
      <c r="C9" s="55">
        <f>[2]DATOS_MODELOS_PIB!G6</f>
        <v>0.83291653310435176</v>
      </c>
    </row>
    <row r="10" spans="1:7" ht="16.5" x14ac:dyDescent="0.3">
      <c r="B10" s="30">
        <f>[2]DATOS_MODELOS_PIB!A7</f>
        <v>2029</v>
      </c>
      <c r="C10" s="55">
        <f>[2]DATOS_MODELOS_PIB!G7</f>
        <v>0.84674223803358895</v>
      </c>
    </row>
    <row r="11" spans="1:7" ht="16.5" x14ac:dyDescent="0.3">
      <c r="B11" s="30">
        <f>[2]DATOS_MODELOS_PIB!A8</f>
        <v>2030</v>
      </c>
      <c r="C11" s="55">
        <f>[2]DATOS_MODELOS_PIB!G8</f>
        <v>0.86632680288995834</v>
      </c>
    </row>
    <row r="12" spans="1:7" ht="16.5" x14ac:dyDescent="0.3">
      <c r="B12" s="30">
        <f>[2]DATOS_MODELOS_PIB!A9</f>
        <v>2031</v>
      </c>
      <c r="C12" s="55">
        <f>[2]DATOS_MODELOS_PIB!G9</f>
        <v>0.8922573861483033</v>
      </c>
    </row>
    <row r="13" spans="1:7" ht="16.5" x14ac:dyDescent="0.3">
      <c r="B13" s="30">
        <f>[2]DATOS_MODELOS_PIB!A10</f>
        <v>2032</v>
      </c>
      <c r="C13" s="55">
        <f>[2]DATOS_MODELOS_PIB!G10</f>
        <v>0.9131656308471936</v>
      </c>
    </row>
    <row r="14" spans="1:7" ht="16.5" x14ac:dyDescent="0.3">
      <c r="B14" s="30">
        <f>[2]DATOS_MODELOS_PIB!A11</f>
        <v>2033</v>
      </c>
      <c r="C14" s="55">
        <f>[2]DATOS_MODELOS_PIB!G11</f>
        <v>0.9369834444580275</v>
      </c>
    </row>
    <row r="15" spans="1:7" ht="16.5" x14ac:dyDescent="0.3">
      <c r="B15" s="30">
        <f>[2]DATOS_MODELOS_PIB!A12</f>
        <v>2034</v>
      </c>
      <c r="C15" s="55">
        <f>[2]DATOS_MODELOS_PIB!G12</f>
        <v>0.96281024416091965</v>
      </c>
    </row>
    <row r="16" spans="1:7" ht="16.5" x14ac:dyDescent="0.3">
      <c r="B16" s="30">
        <f>[2]DATOS_MODELOS_PIB!A13</f>
        <v>2035</v>
      </c>
      <c r="C16" s="55">
        <f>[2]DATOS_MODELOS_PIB!G13</f>
        <v>0.98682948791418146</v>
      </c>
    </row>
    <row r="17" spans="2:6" ht="16.5" x14ac:dyDescent="0.3">
      <c r="B17" s="30">
        <f>[2]DATOS_MODELOS_PIB!A14</f>
        <v>2036</v>
      </c>
      <c r="C17" s="55">
        <f>[2]DATOS_MODELOS_PIB!G14</f>
        <v>1.0140925768327189</v>
      </c>
    </row>
    <row r="18" spans="2:6" ht="16.5" x14ac:dyDescent="0.3">
      <c r="B18" s="30">
        <f>[2]DATOS_MODELOS_PIB!A15</f>
        <v>2037</v>
      </c>
      <c r="C18" s="55">
        <f>[2]DATOS_MODELOS_PIB!G15</f>
        <v>1.0386235140289679</v>
      </c>
    </row>
    <row r="19" spans="2:6" ht="16.5" x14ac:dyDescent="0.3">
      <c r="B19" s="30">
        <f>[2]DATOS_MODELOS_PIB!A16</f>
        <v>2038</v>
      </c>
      <c r="C19" s="55">
        <f>[2]DATOS_MODELOS_PIB!G16</f>
        <v>1.0668262851641368</v>
      </c>
    </row>
    <row r="20" spans="2:6" ht="16.5" x14ac:dyDescent="0.3">
      <c r="B20" s="30">
        <f>[2]DATOS_MODELOS_PIB!A17</f>
        <v>2039</v>
      </c>
      <c r="C20" s="55">
        <f>[2]DATOS_MODELOS_PIB!G17</f>
        <v>1.0977801688501259</v>
      </c>
    </row>
    <row r="21" spans="2:6" ht="16.5" x14ac:dyDescent="0.3">
      <c r="B21" s="30">
        <f>[2]DATOS_MODELOS_PIB!A18</f>
        <v>2040</v>
      </c>
      <c r="C21" s="55">
        <f>[2]DATOS_MODELOS_PIB!G18</f>
        <v>1.1266200394415276</v>
      </c>
    </row>
    <row r="22" spans="2:6" ht="16.5" x14ac:dyDescent="0.3">
      <c r="B22" s="30">
        <f>[2]DATOS_MODELOS_PIB!A19</f>
        <v>2041</v>
      </c>
      <c r="C22" s="55">
        <f>[2]DATOS_MODELOS_PIB!G19</f>
        <v>1.1553837933909843</v>
      </c>
    </row>
    <row r="23" spans="2:6" ht="16.5" x14ac:dyDescent="0.3">
      <c r="B23" s="30">
        <f>[2]DATOS_MODELOS_PIB!A20</f>
        <v>2042</v>
      </c>
      <c r="C23" s="55">
        <f>[2]DATOS_MODELOS_PIB!G20</f>
        <v>1.1839203873991806</v>
      </c>
    </row>
    <row r="24" spans="2:6" ht="16.5" x14ac:dyDescent="0.3">
      <c r="B24" s="30">
        <f>[2]DATOS_MODELOS_PIB!A21</f>
        <v>2043</v>
      </c>
      <c r="C24" s="55">
        <f>[2]DATOS_MODELOS_PIB!G21</f>
        <v>1.2148512983832036</v>
      </c>
    </row>
    <row r="25" spans="2:6" ht="16.5" x14ac:dyDescent="0.3">
      <c r="B25" s="30">
        <f>[2]DATOS_MODELOS_PIB!A22</f>
        <v>2044</v>
      </c>
      <c r="C25" s="55">
        <f>[2]DATOS_MODELOS_PIB!G22</f>
        <v>1.2467773053616902</v>
      </c>
    </row>
    <row r="26" spans="2:6" ht="16.5" x14ac:dyDescent="0.3">
      <c r="B26" s="30">
        <f>[2]DATOS_MODELOS_PIB!A23</f>
        <v>2045</v>
      </c>
      <c r="C26" s="55">
        <f>[2]DATOS_MODELOS_PIB!G23</f>
        <v>1.2782649073770167</v>
      </c>
      <c r="F26" s="36" t="s">
        <v>170</v>
      </c>
    </row>
    <row r="27" spans="2:6" ht="16.5" x14ac:dyDescent="0.3">
      <c r="B27" s="30">
        <f>[2]DATOS_MODELOS_PIB!A24</f>
        <v>2046</v>
      </c>
      <c r="C27" s="55">
        <f>[2]DATOS_MODELOS_PIB!G24</f>
        <v>1.3096139449460382</v>
      </c>
    </row>
    <row r="28" spans="2:6" ht="16.5" x14ac:dyDescent="0.3">
      <c r="B28" s="30">
        <f>[2]DATOS_MODELOS_PIB!A25</f>
        <v>2047</v>
      </c>
      <c r="C28" s="55">
        <f>[2]DATOS_MODELOS_PIB!G25</f>
        <v>1.341041380943222</v>
      </c>
    </row>
    <row r="29" spans="2:6" ht="16.5" x14ac:dyDescent="0.3">
      <c r="B29" s="30">
        <f>[2]DATOS_MODELOS_PIB!A26</f>
        <v>2048</v>
      </c>
      <c r="C29" s="55">
        <f>[2]DATOS_MODELOS_PIB!G26</f>
        <v>1.3748631405325891</v>
      </c>
    </row>
    <row r="30" spans="2:6" ht="16.5" x14ac:dyDescent="0.3">
      <c r="B30" s="30">
        <f>[2]DATOS_MODELOS_PIB!A27</f>
        <v>2049</v>
      </c>
      <c r="C30" s="55">
        <f>[2]DATOS_MODELOS_PIB!G27</f>
        <v>1.4087262143273687</v>
      </c>
    </row>
    <row r="31" spans="2:6" ht="16.5" x14ac:dyDescent="0.3">
      <c r="B31" s="30">
        <f>[2]DATOS_MODELOS_PIB!A28</f>
        <v>2050</v>
      </c>
      <c r="C31" s="55">
        <f>[2]DATOS_MODELOS_PIB!G28</f>
        <v>1.4432639656804418</v>
      </c>
    </row>
    <row r="32" spans="2:6" ht="16.5" x14ac:dyDescent="0.3">
      <c r="B32" s="30">
        <f>[2]DATOS_MODELOS_PIB!A29</f>
        <v>2051</v>
      </c>
      <c r="C32" s="55">
        <f>[2]DATOS_MODELOS_PIB!G29</f>
        <v>1.4693203531637691</v>
      </c>
    </row>
    <row r="33" spans="2:3" ht="16.5" x14ac:dyDescent="0.3">
      <c r="B33" s="30">
        <f>[2]DATOS_MODELOS_PIB!A30</f>
        <v>2052</v>
      </c>
      <c r="C33" s="55">
        <f>[2]DATOS_MODELOS_PIB!G30</f>
        <v>1.4942126137103442</v>
      </c>
    </row>
    <row r="34" spans="2:3" ht="16.5" x14ac:dyDescent="0.3">
      <c r="B34" s="30">
        <f>[2]DATOS_MODELOS_PIB!A31</f>
        <v>2053</v>
      </c>
      <c r="C34" s="55">
        <f>[2]DATOS_MODELOS_PIB!G31</f>
        <v>1.5199491157389922</v>
      </c>
    </row>
    <row r="35" spans="2:3" ht="16.5" x14ac:dyDescent="0.3">
      <c r="B35" s="30">
        <f>[2]DATOS_MODELOS_PIB!A32</f>
        <v>2054</v>
      </c>
      <c r="C35" s="55">
        <f>[2]DATOS_MODELOS_PIB!G32</f>
        <v>1.5446185028779646</v>
      </c>
    </row>
    <row r="36" spans="2:3" ht="16.5" x14ac:dyDescent="0.3">
      <c r="B36" s="30">
        <f>[2]DATOS_MODELOS_PIB!A33</f>
        <v>2055</v>
      </c>
      <c r="C36" s="55">
        <f>[2]DATOS_MODELOS_PIB!G33</f>
        <v>1.5703427343809835</v>
      </c>
    </row>
    <row r="37" spans="2:3" ht="16.5" x14ac:dyDescent="0.3">
      <c r="B37" s="30">
        <f>[2]DATOS_MODELOS_PIB!A34</f>
        <v>2056</v>
      </c>
      <c r="C37" s="55">
        <f>[2]DATOS_MODELOS_PIB!G34</f>
        <v>1.5940582139989621</v>
      </c>
    </row>
    <row r="38" spans="2:3" ht="16.5" x14ac:dyDescent="0.3">
      <c r="B38" s="30">
        <f>[2]DATOS_MODELOS_PIB!A35</f>
        <v>2057</v>
      </c>
      <c r="C38" s="55">
        <f>[2]DATOS_MODELOS_PIB!G35</f>
        <v>1.6165209814481678</v>
      </c>
    </row>
    <row r="39" spans="2:3" ht="16.5" x14ac:dyDescent="0.3">
      <c r="B39" s="30">
        <f>[2]DATOS_MODELOS_PIB!A36</f>
        <v>2058</v>
      </c>
      <c r="C39" s="55">
        <f>[2]DATOS_MODELOS_PIB!G36</f>
        <v>1.6379449692928083</v>
      </c>
    </row>
    <row r="40" spans="2:3" ht="16.5" x14ac:dyDescent="0.3">
      <c r="B40" s="30">
        <f>[2]DATOS_MODELOS_PIB!A37</f>
        <v>2059</v>
      </c>
      <c r="C40" s="55">
        <f>[2]DATOS_MODELOS_PIB!G37</f>
        <v>1.6576131216692878</v>
      </c>
    </row>
    <row r="41" spans="2:3" ht="16.5" x14ac:dyDescent="0.3">
      <c r="B41" s="30">
        <f>[2]DATOS_MODELOS_PIB!A38</f>
        <v>2060</v>
      </c>
      <c r="C41" s="55">
        <f>[2]DATOS_MODELOS_PIB!G38</f>
        <v>1.6763331864337945</v>
      </c>
    </row>
    <row r="42" spans="2:3" ht="16.5" x14ac:dyDescent="0.3">
      <c r="B42" s="30">
        <f>[2]DATOS_MODELOS_PIB!A39</f>
        <v>2061</v>
      </c>
      <c r="C42" s="55">
        <f>[2]DATOS_MODELOS_PIB!G39</f>
        <v>1.6931558680643066</v>
      </c>
    </row>
    <row r="43" spans="2:3" ht="16.5" x14ac:dyDescent="0.3">
      <c r="B43" s="30">
        <f>[2]DATOS_MODELOS_PIB!A40</f>
        <v>2062</v>
      </c>
      <c r="C43" s="55">
        <f>[2]DATOS_MODELOS_PIB!G40</f>
        <v>1.7084122298796298</v>
      </c>
    </row>
    <row r="44" spans="2:3" ht="16.5" x14ac:dyDescent="0.3">
      <c r="B44" s="30">
        <f>[2]DATOS_MODELOS_PIB!A41</f>
        <v>2063</v>
      </c>
      <c r="C44" s="55">
        <f>[2]DATOS_MODELOS_PIB!G41</f>
        <v>1.7221403723037267</v>
      </c>
    </row>
    <row r="45" spans="2:3" ht="16.5" x14ac:dyDescent="0.3">
      <c r="B45" s="30">
        <f>[2]DATOS_MODELOS_PIB!A42</f>
        <v>2064</v>
      </c>
      <c r="C45" s="55">
        <f>[2]DATOS_MODELOS_PIB!G42</f>
        <v>1.7332823316084092</v>
      </c>
    </row>
    <row r="46" spans="2:3" ht="16.5" x14ac:dyDescent="0.3">
      <c r="B46" s="30">
        <f>[2]DATOS_MODELOS_PIB!A43</f>
        <v>2065</v>
      </c>
      <c r="C46" s="55">
        <f>[2]DATOS_MODELOS_PIB!G43</f>
        <v>1.7429327014223011</v>
      </c>
    </row>
    <row r="47" spans="2:3" ht="16.5" x14ac:dyDescent="0.3">
      <c r="B47" s="30">
        <f>[2]DATOS_MODELOS_PIB!A44</f>
        <v>2066</v>
      </c>
      <c r="C47" s="55">
        <f>[2]DATOS_MODELOS_PIB!G44</f>
        <v>1.7509330301848915</v>
      </c>
    </row>
    <row r="48" spans="2:3" ht="16.5" x14ac:dyDescent="0.3">
      <c r="B48" s="30">
        <f>[2]DATOS_MODELOS_PIB!A45</f>
        <v>2067</v>
      </c>
      <c r="C48" s="55">
        <f>[2]DATOS_MODELOS_PIB!G45</f>
        <v>1.7573036249573253</v>
      </c>
    </row>
    <row r="49" spans="2:3" ht="16.5" x14ac:dyDescent="0.3">
      <c r="B49" s="30">
        <f>[2]DATOS_MODELOS_PIB!A46</f>
        <v>2068</v>
      </c>
      <c r="C49" s="55">
        <f>[2]DATOS_MODELOS_PIB!G46</f>
        <v>1.7613117510730973</v>
      </c>
    </row>
    <row r="50" spans="2:3" ht="16.5" x14ac:dyDescent="0.3">
      <c r="B50" s="30">
        <f>[2]DATOS_MODELOS_PIB!A47</f>
        <v>2069</v>
      </c>
      <c r="C50" s="55">
        <f>[2]DATOS_MODELOS_PIB!G47</f>
        <v>1.7632752803989211</v>
      </c>
    </row>
    <row r="51" spans="2:3" ht="16.5" x14ac:dyDescent="0.3">
      <c r="B51" s="30">
        <f>[2]DATOS_MODELOS_PIB!A48</f>
        <v>2070</v>
      </c>
      <c r="C51" s="55">
        <f>[2]DATOS_MODELOS_PIB!G48</f>
        <v>1.7630711326927586</v>
      </c>
    </row>
  </sheetData>
  <hyperlinks>
    <hyperlink ref="A1" location="Gráficos!A1" display="Ir a gráficos" xr:uid="{51FD5CF4-A7B6-47FE-8638-299ED93EBB2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Gráficos</vt:lpstr>
      <vt:lpstr>Gráficos 1, 2, 15, 16 y 22</vt:lpstr>
      <vt:lpstr>Gráficos 3, 4, 5, 9, 10 y  12</vt:lpstr>
      <vt:lpstr>Gráficos 6 y 7</vt:lpstr>
      <vt:lpstr>Gráfico 8</vt:lpstr>
      <vt:lpstr>Gráfico 11</vt:lpstr>
      <vt:lpstr>Gráfico 13</vt:lpstr>
      <vt:lpstr>Gráfico 14</vt:lpstr>
      <vt:lpstr>Gráfico 17</vt:lpstr>
      <vt:lpstr>Gráfico 18</vt:lpstr>
      <vt:lpstr>Gráfico 19</vt:lpstr>
      <vt:lpstr>Gráfico 20</vt:lpstr>
      <vt:lpstr>Gráfico 21</vt:lpstr>
      <vt:lpstr>Gráfico 23</vt:lpstr>
      <vt:lpstr>Gráficos 24 </vt:lpstr>
      <vt:lpstr>Gráficos 25</vt:lpstr>
      <vt:lpstr>Gráfico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Rodriguez, Ana</dc:creator>
  <cp:lastModifiedBy>Santos Rodriguez, Ana</cp:lastModifiedBy>
  <dcterms:created xsi:type="dcterms:W3CDTF">2025-04-23T15:26:50Z</dcterms:created>
  <dcterms:modified xsi:type="dcterms:W3CDTF">2025-04-25T07:43:25Z</dcterms:modified>
</cp:coreProperties>
</file>